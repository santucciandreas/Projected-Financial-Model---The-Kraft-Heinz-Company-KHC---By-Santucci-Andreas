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u\Downloads\"/>
    </mc:Choice>
  </mc:AlternateContent>
  <xr:revisionPtr revIDLastSave="0" documentId="8_{E3B522DC-A43C-4866-B775-D19B79EC30A4}" xr6:coauthVersionLast="47" xr6:coauthVersionMax="47" xr10:uidLastSave="{00000000-0000-0000-0000-000000000000}"/>
  <bookViews>
    <workbookView xWindow="-110" yWindow="-110" windowWidth="19420" windowHeight="10420" activeTab="3" xr2:uid="{C50621F6-0F5C-4312-AB8B-FDA6BACE58FF}"/>
  </bookViews>
  <sheets>
    <sheet name="Portada - Indice" sheetId="1" r:id="rId1"/>
    <sheet name="Supuestos" sheetId="2" r:id="rId2"/>
    <sheet name="Modelo" sheetId="3" r:id="rId3"/>
    <sheet name="Insight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2" i="1" l="1"/>
  <c r="C30" i="1"/>
  <c r="C28" i="1"/>
  <c r="C26" i="1"/>
  <c r="D20" i="2"/>
  <c r="E16" i="2"/>
  <c r="K34" i="8"/>
  <c r="J34" i="8"/>
  <c r="I34" i="8"/>
  <c r="H34" i="8"/>
  <c r="G34" i="8"/>
  <c r="F34" i="8"/>
  <c r="E34" i="8"/>
  <c r="K33" i="8"/>
  <c r="J33" i="8"/>
  <c r="I33" i="8"/>
  <c r="H33" i="8"/>
  <c r="G33" i="8"/>
  <c r="F33" i="8"/>
  <c r="E33" i="8"/>
  <c r="K32" i="8"/>
  <c r="J32" i="8"/>
  <c r="I32" i="8"/>
  <c r="H32" i="8"/>
  <c r="G32" i="8"/>
  <c r="F32" i="8"/>
  <c r="E32" i="8"/>
  <c r="K31" i="8"/>
  <c r="J31" i="8"/>
  <c r="I31" i="8"/>
  <c r="H31" i="8"/>
  <c r="G31" i="8"/>
  <c r="F31" i="8"/>
  <c r="E31" i="8"/>
  <c r="D31" i="8"/>
  <c r="D34" i="8"/>
  <c r="D33" i="8"/>
  <c r="D32" i="8"/>
  <c r="K53" i="2"/>
  <c r="J53" i="2"/>
  <c r="I53" i="2"/>
  <c r="H53" i="2"/>
  <c r="G53" i="2"/>
  <c r="K27" i="8"/>
  <c r="J27" i="8"/>
  <c r="I27" i="8"/>
  <c r="H27" i="8"/>
  <c r="G27" i="8"/>
  <c r="F27" i="8"/>
  <c r="E27" i="8"/>
  <c r="K26" i="8"/>
  <c r="J26" i="8"/>
  <c r="I26" i="8"/>
  <c r="H26" i="8"/>
  <c r="G26" i="8"/>
  <c r="F26" i="8"/>
  <c r="E26" i="8"/>
  <c r="K22" i="8"/>
  <c r="J22" i="8"/>
  <c r="I22" i="8"/>
  <c r="H22" i="8"/>
  <c r="G22" i="8"/>
  <c r="F22" i="8"/>
  <c r="E22" i="8"/>
  <c r="K21" i="8"/>
  <c r="J21" i="8"/>
  <c r="I21" i="8"/>
  <c r="H21" i="8"/>
  <c r="G21" i="8"/>
  <c r="F21" i="8"/>
  <c r="E21" i="8"/>
  <c r="K12" i="8"/>
  <c r="J12" i="8"/>
  <c r="I12" i="8"/>
  <c r="H12" i="8"/>
  <c r="G12" i="8"/>
  <c r="F12" i="8"/>
  <c r="E12" i="8"/>
  <c r="K11" i="8"/>
  <c r="J11" i="8"/>
  <c r="I11" i="8"/>
  <c r="H11" i="8"/>
  <c r="G11" i="8"/>
  <c r="F11" i="8"/>
  <c r="E11" i="8"/>
  <c r="K10" i="8"/>
  <c r="J10" i="8"/>
  <c r="I10" i="8"/>
  <c r="H10" i="8"/>
  <c r="G10" i="8"/>
  <c r="F10" i="8"/>
  <c r="E10" i="8"/>
  <c r="K9" i="8"/>
  <c r="J9" i="8"/>
  <c r="I9" i="8"/>
  <c r="H9" i="8"/>
  <c r="G9" i="8"/>
  <c r="F9" i="8"/>
  <c r="E9" i="8"/>
  <c r="K8" i="8"/>
  <c r="J8" i="8"/>
  <c r="I8" i="8"/>
  <c r="H8" i="8"/>
  <c r="G8" i="8"/>
  <c r="F8" i="8"/>
  <c r="E8" i="8"/>
  <c r="K7" i="8"/>
  <c r="J7" i="8"/>
  <c r="I7" i="8"/>
  <c r="H7" i="8"/>
  <c r="G7" i="8"/>
  <c r="F7" i="8"/>
  <c r="E7" i="8"/>
  <c r="H63" i="3"/>
  <c r="E61" i="3"/>
  <c r="F70" i="3"/>
  <c r="E70" i="3"/>
  <c r="A1" i="8"/>
  <c r="A1" i="2"/>
  <c r="K73" i="3"/>
  <c r="J73" i="3"/>
  <c r="I73" i="3"/>
  <c r="H73" i="3"/>
  <c r="G73" i="3"/>
  <c r="K37" i="3"/>
  <c r="J37" i="3"/>
  <c r="I37" i="3"/>
  <c r="H37" i="3"/>
  <c r="G37" i="3"/>
  <c r="K3" i="8"/>
  <c r="J3" i="8"/>
  <c r="I3" i="8"/>
  <c r="H3" i="8"/>
  <c r="G3" i="8"/>
  <c r="F3" i="8"/>
  <c r="E3" i="8"/>
  <c r="D3" i="8"/>
  <c r="G22" i="2"/>
  <c r="G7" i="2"/>
  <c r="F10" i="2"/>
  <c r="E23" i="2"/>
  <c r="F53" i="3"/>
  <c r="G43" i="3"/>
  <c r="F51" i="3"/>
  <c r="F43" i="3"/>
  <c r="G69" i="3"/>
  <c r="H69" i="3" s="1"/>
  <c r="I69" i="3" s="1"/>
  <c r="J69" i="3" s="1"/>
  <c r="K69" i="3" s="1"/>
  <c r="G85" i="3"/>
  <c r="H85" i="3" s="1"/>
  <c r="I85" i="3" s="1"/>
  <c r="J85" i="3" s="1"/>
  <c r="K85" i="3" s="1"/>
  <c r="K75" i="3"/>
  <c r="J75" i="3"/>
  <c r="I75" i="3"/>
  <c r="H75" i="3"/>
  <c r="G75" i="3"/>
  <c r="F75" i="3"/>
  <c r="E75" i="3"/>
  <c r="G54" i="3"/>
  <c r="H54" i="3" s="1"/>
  <c r="I54" i="3" s="1"/>
  <c r="J54" i="3" s="1"/>
  <c r="K54" i="3" s="1"/>
  <c r="F84" i="3"/>
  <c r="E84" i="3"/>
  <c r="F83" i="3"/>
  <c r="E83" i="3"/>
  <c r="F82" i="3"/>
  <c r="E82" i="3"/>
  <c r="F81" i="3"/>
  <c r="E81" i="3"/>
  <c r="F74" i="3"/>
  <c r="E74" i="3"/>
  <c r="F73" i="3"/>
  <c r="E73" i="3"/>
  <c r="K68" i="3"/>
  <c r="J68" i="3"/>
  <c r="I68" i="3"/>
  <c r="H68" i="3"/>
  <c r="G68" i="3"/>
  <c r="F68" i="3"/>
  <c r="E68" i="3"/>
  <c r="F67" i="3"/>
  <c r="E67" i="3"/>
  <c r="F60" i="3"/>
  <c r="E60" i="3"/>
  <c r="F59" i="3"/>
  <c r="E59" i="3"/>
  <c r="F58" i="3"/>
  <c r="E58" i="3"/>
  <c r="D58" i="3"/>
  <c r="E53" i="3"/>
  <c r="F52" i="3"/>
  <c r="E52" i="3"/>
  <c r="E51" i="3"/>
  <c r="F37" i="3"/>
  <c r="E38" i="3"/>
  <c r="E33" i="3"/>
  <c r="D38" i="3"/>
  <c r="D27" i="8" s="1"/>
  <c r="D33" i="3"/>
  <c r="K38" i="3"/>
  <c r="J38" i="3"/>
  <c r="I38" i="3"/>
  <c r="H38" i="3"/>
  <c r="K25" i="3"/>
  <c r="J25" i="3"/>
  <c r="I25" i="3"/>
  <c r="H25" i="3"/>
  <c r="G38" i="3"/>
  <c r="G25" i="3"/>
  <c r="F38" i="3"/>
  <c r="F33" i="3"/>
  <c r="F34" i="3" s="1"/>
  <c r="F28" i="3"/>
  <c r="F27" i="3"/>
  <c r="F26" i="3"/>
  <c r="F25" i="3"/>
  <c r="K14" i="3"/>
  <c r="J14" i="3"/>
  <c r="I14" i="3"/>
  <c r="H14" i="3"/>
  <c r="G14" i="3"/>
  <c r="F14" i="3"/>
  <c r="E14" i="3"/>
  <c r="D14" i="3"/>
  <c r="K13" i="3"/>
  <c r="J13" i="3"/>
  <c r="I13" i="3"/>
  <c r="H13" i="3"/>
  <c r="G13" i="3"/>
  <c r="F13" i="3"/>
  <c r="E13" i="3"/>
  <c r="D13" i="3"/>
  <c r="K11" i="3"/>
  <c r="K24" i="3" s="1"/>
  <c r="J11" i="3"/>
  <c r="J24" i="3" s="1"/>
  <c r="I11" i="3"/>
  <c r="I24" i="3" s="1"/>
  <c r="H11" i="3"/>
  <c r="H24" i="3" s="1"/>
  <c r="G11" i="3"/>
  <c r="G24" i="3" s="1"/>
  <c r="G10" i="3"/>
  <c r="G23" i="3" s="1"/>
  <c r="F10" i="3"/>
  <c r="F23" i="3" s="1"/>
  <c r="E10" i="3"/>
  <c r="E23" i="3" s="1"/>
  <c r="D10" i="3"/>
  <c r="D23" i="3" s="1"/>
  <c r="F6" i="3"/>
  <c r="D23" i="2"/>
  <c r="F23" i="2"/>
  <c r="G55" i="2"/>
  <c r="G54" i="2"/>
  <c r="G52" i="2"/>
  <c r="G49" i="2"/>
  <c r="G46" i="2"/>
  <c r="G44" i="2"/>
  <c r="E86" i="3" l="1"/>
  <c r="F40" i="3"/>
  <c r="E34" i="3"/>
  <c r="E16" i="8"/>
  <c r="D34" i="3"/>
  <c r="D16" i="8"/>
  <c r="K40" i="3"/>
  <c r="J40" i="3"/>
  <c r="I40" i="3"/>
  <c r="H40" i="3"/>
  <c r="H55" i="2"/>
  <c r="G84" i="3"/>
  <c r="H54" i="2"/>
  <c r="G83" i="3"/>
  <c r="H52" i="2"/>
  <c r="G81" i="3"/>
  <c r="G74" i="3"/>
  <c r="H49" i="2"/>
  <c r="H46" i="2"/>
  <c r="G60" i="3"/>
  <c r="H44" i="2"/>
  <c r="G59" i="3"/>
  <c r="G40" i="3"/>
  <c r="F76" i="3"/>
  <c r="E55" i="3"/>
  <c r="F78" i="3"/>
  <c r="E76" i="3"/>
  <c r="F86" i="3"/>
  <c r="E63" i="3"/>
  <c r="F61" i="3"/>
  <c r="I55" i="2" l="1"/>
  <c r="H84" i="3"/>
  <c r="I54" i="2"/>
  <c r="H83" i="3"/>
  <c r="H81" i="3"/>
  <c r="I52" i="2"/>
  <c r="I49" i="2"/>
  <c r="H74" i="3"/>
  <c r="I46" i="2"/>
  <c r="H60" i="3"/>
  <c r="H59" i="3"/>
  <c r="I44" i="2"/>
  <c r="F88" i="3"/>
  <c r="G76" i="3"/>
  <c r="E78" i="3"/>
  <c r="E88" i="3" s="1"/>
  <c r="E91" i="3" s="1"/>
  <c r="I84" i="3" l="1"/>
  <c r="J55" i="2"/>
  <c r="I83" i="3"/>
  <c r="J54" i="2"/>
  <c r="J52" i="2"/>
  <c r="I81" i="3"/>
  <c r="I74" i="3"/>
  <c r="J49" i="2"/>
  <c r="I60" i="3"/>
  <c r="J46" i="2"/>
  <c r="I59" i="3"/>
  <c r="J44" i="2"/>
  <c r="H76" i="3"/>
  <c r="J84" i="3" l="1"/>
  <c r="K55" i="2"/>
  <c r="K84" i="3" s="1"/>
  <c r="J83" i="3"/>
  <c r="K54" i="2"/>
  <c r="K83" i="3" s="1"/>
  <c r="J81" i="3"/>
  <c r="K52" i="2"/>
  <c r="K81" i="3" s="1"/>
  <c r="J74" i="3"/>
  <c r="J76" i="3" s="1"/>
  <c r="K49" i="2"/>
  <c r="K74" i="3" s="1"/>
  <c r="J60" i="3"/>
  <c r="K46" i="2"/>
  <c r="K60" i="3" s="1"/>
  <c r="J59" i="3"/>
  <c r="K44" i="2"/>
  <c r="K59" i="3" s="1"/>
  <c r="I76" i="3"/>
  <c r="F55" i="3"/>
  <c r="F63" i="3" s="1"/>
  <c r="F91" i="3" s="1"/>
  <c r="K76" i="3" l="1"/>
  <c r="E14" i="2" l="1"/>
  <c r="F27" i="2"/>
  <c r="F11" i="3" s="1"/>
  <c r="F24" i="3" s="1"/>
  <c r="E27" i="2"/>
  <c r="E11" i="3" s="1"/>
  <c r="E24" i="3" s="1"/>
  <c r="D27" i="2"/>
  <c r="D11" i="3" s="1"/>
  <c r="D24" i="3" s="1"/>
  <c r="E26" i="2"/>
  <c r="D26" i="2"/>
  <c r="F21" i="2"/>
  <c r="F9" i="3" s="1"/>
  <c r="H7" i="2"/>
  <c r="G9" i="2"/>
  <c r="H9" i="2" s="1"/>
  <c r="I9" i="2" s="1"/>
  <c r="J9" i="2" s="1"/>
  <c r="K9" i="2" s="1"/>
  <c r="G8" i="2"/>
  <c r="H8" i="2" s="1"/>
  <c r="I8" i="2" s="1"/>
  <c r="F15" i="2"/>
  <c r="E15" i="2"/>
  <c r="F14" i="2"/>
  <c r="F13" i="2"/>
  <c r="E13" i="2"/>
  <c r="E10" i="2"/>
  <c r="E21" i="2" s="1"/>
  <c r="D10" i="2"/>
  <c r="G10" i="2" l="1"/>
  <c r="E36" i="2"/>
  <c r="F16" i="2"/>
  <c r="E6" i="3"/>
  <c r="D42" i="2"/>
  <c r="D6" i="3"/>
  <c r="J8" i="2"/>
  <c r="K8" i="2" s="1"/>
  <c r="E20" i="2"/>
  <c r="E38" i="2" s="1"/>
  <c r="E42" i="2"/>
  <c r="F20" i="2"/>
  <c r="F36" i="2"/>
  <c r="F42" i="2"/>
  <c r="D21" i="2"/>
  <c r="I7" i="2"/>
  <c r="G41" i="2" l="1"/>
  <c r="G32" i="2"/>
  <c r="G33" i="2"/>
  <c r="G6" i="3"/>
  <c r="G16" i="2"/>
  <c r="G31" i="2"/>
  <c r="E9" i="3"/>
  <c r="E7" i="3"/>
  <c r="E8" i="3" s="1"/>
  <c r="D9" i="3"/>
  <c r="D7" i="8"/>
  <c r="D8" i="8"/>
  <c r="D7" i="3"/>
  <c r="D8" i="3" s="1"/>
  <c r="G33" i="3"/>
  <c r="G34" i="3" s="1"/>
  <c r="G58" i="3"/>
  <c r="F37" i="2"/>
  <c r="F7" i="3"/>
  <c r="F8" i="3" s="1"/>
  <c r="F12" i="3" s="1"/>
  <c r="E37" i="2"/>
  <c r="F38" i="2"/>
  <c r="H10" i="2"/>
  <c r="H6" i="3" s="1"/>
  <c r="G43" i="2"/>
  <c r="H22" i="2" s="1"/>
  <c r="H10" i="3" s="1"/>
  <c r="H23" i="3" s="1"/>
  <c r="J7" i="2"/>
  <c r="I10" i="2"/>
  <c r="I6" i="3" s="1"/>
  <c r="E12" i="3" l="1"/>
  <c r="G27" i="3"/>
  <c r="G53" i="3"/>
  <c r="G67" i="3"/>
  <c r="G70" i="3" s="1"/>
  <c r="G78" i="3" s="1"/>
  <c r="G28" i="3"/>
  <c r="G7" i="3"/>
  <c r="G8" i="3" s="1"/>
  <c r="G9" i="3"/>
  <c r="G26" i="3"/>
  <c r="G52" i="3"/>
  <c r="G61" i="3"/>
  <c r="D12" i="3"/>
  <c r="F15" i="3"/>
  <c r="F17" i="3" s="1"/>
  <c r="H7" i="3"/>
  <c r="H8" i="3" s="1"/>
  <c r="H9" i="3"/>
  <c r="I7" i="3"/>
  <c r="I8" i="3" s="1"/>
  <c r="I9" i="3"/>
  <c r="H31" i="2"/>
  <c r="H33" i="2"/>
  <c r="H16" i="2"/>
  <c r="H41" i="2"/>
  <c r="H32" i="2"/>
  <c r="I33" i="2"/>
  <c r="I16" i="2"/>
  <c r="I41" i="2"/>
  <c r="I33" i="3" s="1"/>
  <c r="I34" i="3" s="1"/>
  <c r="I32" i="2"/>
  <c r="I31" i="2"/>
  <c r="K7" i="2"/>
  <c r="K10" i="2" s="1"/>
  <c r="K6" i="3" s="1"/>
  <c r="J10" i="2"/>
  <c r="J6" i="3" s="1"/>
  <c r="E17" i="8" l="1"/>
  <c r="E15" i="3"/>
  <c r="E16" i="3" s="1"/>
  <c r="E17" i="3" s="1"/>
  <c r="G12" i="3"/>
  <c r="H33" i="3"/>
  <c r="H34" i="3" s="1"/>
  <c r="H58" i="3"/>
  <c r="H61" i="3" s="1"/>
  <c r="G15" i="3"/>
  <c r="G16" i="3" s="1"/>
  <c r="G17" i="3" s="1"/>
  <c r="D15" i="3"/>
  <c r="D16" i="3" s="1"/>
  <c r="D17" i="3" s="1"/>
  <c r="D22" i="8"/>
  <c r="D21" i="8"/>
  <c r="D10" i="8"/>
  <c r="D9" i="8"/>
  <c r="D17" i="8"/>
  <c r="F22" i="3"/>
  <c r="H12" i="3"/>
  <c r="H26" i="3"/>
  <c r="H52" i="3"/>
  <c r="H67" i="3"/>
  <c r="H70" i="3" s="1"/>
  <c r="H78" i="3" s="1"/>
  <c r="H28" i="3"/>
  <c r="H53" i="3"/>
  <c r="H27" i="3"/>
  <c r="I28" i="3"/>
  <c r="I67" i="3"/>
  <c r="I70" i="3" s="1"/>
  <c r="I78" i="3" s="1"/>
  <c r="I27" i="3"/>
  <c r="I53" i="3"/>
  <c r="I52" i="3"/>
  <c r="I26" i="3"/>
  <c r="K7" i="3"/>
  <c r="K8" i="3" s="1"/>
  <c r="K9" i="3"/>
  <c r="J9" i="3"/>
  <c r="J7" i="3"/>
  <c r="J8" i="3" s="1"/>
  <c r="H43" i="2"/>
  <c r="I22" i="2" s="1"/>
  <c r="J33" i="2"/>
  <c r="J16" i="2"/>
  <c r="J41" i="2"/>
  <c r="J33" i="3" s="1"/>
  <c r="J34" i="3" s="1"/>
  <c r="J32" i="2"/>
  <c r="J31" i="2"/>
  <c r="K16" i="2"/>
  <c r="K41" i="2"/>
  <c r="K33" i="3" s="1"/>
  <c r="K34" i="3" s="1"/>
  <c r="K32" i="2"/>
  <c r="K31" i="2"/>
  <c r="K33" i="2"/>
  <c r="E22" i="3" l="1"/>
  <c r="F30" i="3"/>
  <c r="D19" i="1"/>
  <c r="G82" i="3"/>
  <c r="G22" i="3"/>
  <c r="G30" i="3" s="1"/>
  <c r="D11" i="8"/>
  <c r="D12" i="8"/>
  <c r="D26" i="8"/>
  <c r="D22" i="3"/>
  <c r="H15" i="3"/>
  <c r="H16" i="3" s="1"/>
  <c r="H17" i="3" s="1"/>
  <c r="I43" i="2"/>
  <c r="I58" i="3"/>
  <c r="I10" i="3"/>
  <c r="J67" i="3"/>
  <c r="J70" i="3" s="1"/>
  <c r="J78" i="3" s="1"/>
  <c r="J28" i="3"/>
  <c r="J53" i="3"/>
  <c r="J27" i="3"/>
  <c r="J52" i="3"/>
  <c r="J26" i="3"/>
  <c r="K27" i="3"/>
  <c r="K53" i="3"/>
  <c r="K26" i="3"/>
  <c r="K52" i="3"/>
  <c r="K67" i="3"/>
  <c r="K70" i="3" s="1"/>
  <c r="K78" i="3" s="1"/>
  <c r="K28" i="3"/>
  <c r="F17" i="8" l="1"/>
  <c r="F16" i="8"/>
  <c r="F42" i="3"/>
  <c r="H82" i="3"/>
  <c r="G86" i="3"/>
  <c r="G42" i="3"/>
  <c r="G44" i="3" s="1"/>
  <c r="G17" i="8"/>
  <c r="G16" i="8"/>
  <c r="H22" i="3"/>
  <c r="I61" i="3"/>
  <c r="I12" i="3"/>
  <c r="I23" i="3"/>
  <c r="J22" i="2"/>
  <c r="J43" i="2"/>
  <c r="J10" i="3" l="1"/>
  <c r="J58" i="3"/>
  <c r="J61" i="3" s="1"/>
  <c r="H86" i="3"/>
  <c r="G88" i="3"/>
  <c r="G51" i="3"/>
  <c r="G45" i="2"/>
  <c r="H43" i="3"/>
  <c r="H30" i="3"/>
  <c r="H42" i="3" s="1"/>
  <c r="I15" i="3"/>
  <c r="I16" i="3" s="1"/>
  <c r="I17" i="3" s="1"/>
  <c r="I82" i="3" s="1"/>
  <c r="K22" i="2"/>
  <c r="K43" i="2"/>
  <c r="J12" i="3" l="1"/>
  <c r="J15" i="3" s="1"/>
  <c r="J16" i="3" s="1"/>
  <c r="J17" i="3" s="1"/>
  <c r="J82" i="3" s="1"/>
  <c r="J23" i="3"/>
  <c r="I86" i="3"/>
  <c r="H88" i="3"/>
  <c r="G55" i="3"/>
  <c r="G63" i="3" s="1"/>
  <c r="G91" i="3" s="1"/>
  <c r="H17" i="8"/>
  <c r="H16" i="8"/>
  <c r="I22" i="3"/>
  <c r="H44" i="3"/>
  <c r="K10" i="3"/>
  <c r="K58" i="3"/>
  <c r="K61" i="3" s="1"/>
  <c r="J86" i="3" l="1"/>
  <c r="I88" i="3"/>
  <c r="I30" i="3"/>
  <c r="I42" i="3" s="1"/>
  <c r="J22" i="3"/>
  <c r="I43" i="3"/>
  <c r="H45" i="2"/>
  <c r="H51" i="3"/>
  <c r="K23" i="3"/>
  <c r="K12" i="3"/>
  <c r="J88" i="3" l="1"/>
  <c r="I17" i="8"/>
  <c r="I16" i="8"/>
  <c r="J30" i="3"/>
  <c r="J42" i="3" s="1"/>
  <c r="H55" i="3"/>
  <c r="H91" i="3" s="1"/>
  <c r="K15" i="3"/>
  <c r="K16" i="3" s="1"/>
  <c r="K17" i="3" s="1"/>
  <c r="I44" i="3"/>
  <c r="J17" i="8" l="1"/>
  <c r="J16" i="8"/>
  <c r="K82" i="3"/>
  <c r="K86" i="3" s="1"/>
  <c r="K22" i="3"/>
  <c r="J43" i="3"/>
  <c r="J44" i="3" s="1"/>
  <c r="I45" i="2"/>
  <c r="I51" i="3"/>
  <c r="K88" i="3" l="1"/>
  <c r="K30" i="3"/>
  <c r="K42" i="3" s="1"/>
  <c r="J45" i="2"/>
  <c r="J51" i="3"/>
  <c r="K43" i="3"/>
  <c r="I55" i="3"/>
  <c r="I63" i="3" s="1"/>
  <c r="I91" i="3" s="1"/>
  <c r="K17" i="8" l="1"/>
  <c r="K16" i="8"/>
  <c r="J55" i="3"/>
  <c r="J63" i="3" s="1"/>
  <c r="J91" i="3" s="1"/>
  <c r="K44" i="3"/>
  <c r="K45" i="2" l="1"/>
  <c r="K51" i="3"/>
  <c r="D20" i="1"/>
  <c r="K55" i="3" l="1"/>
  <c r="K63" i="3" s="1"/>
  <c r="K91" i="3" s="1"/>
  <c r="D18" i="1" s="1" a="1"/>
  <c r="D1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Santucci, Andreas</author>
  </authors>
  <commentList>
    <comment ref="D11" authorId="0" shapeId="0" xr:uid="{5C76FACA-6D40-4C84-975C-B56C64CAEB69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— https://www.sec.gov/Archives/edgar/data/0001637459/000163745925000011/khc-20241228.htm</t>
        </r>
      </text>
    </comment>
    <comment ref="D18" authorId="0" shapeId="0" xr:uid="{944F59DC-4312-4C40-90B8-E7C53F3B1A57}">
      <text>
        <r>
          <rPr>
            <b/>
            <sz val="9"/>
            <color indexed="81"/>
            <rFont val="Tahoma"/>
            <family val="2"/>
          </rPr>
          <t>Verifica que Total Activos = Total Pasivos + Patrimonio en cada año proyectado. Tolerancia $10mm por redondeo. Vinculado a Modelo!G93:K93.</t>
        </r>
      </text>
    </comment>
    <comment ref="D19" authorId="0" shapeId="0" xr:uid="{5D76DBB9-DC99-4730-AA13-61B7117F56AC}">
      <text>
        <r>
          <rPr>
            <b/>
            <sz val="9"/>
            <color indexed="81"/>
            <rFont val="Tahoma"/>
            <family val="2"/>
          </rPr>
          <t>Verifica que la Utilidad Neta del Estado de Resultados (Modelo!F19) coincide con la Utilidad Neta del inicio del Flujo de Caja (Modelo!F24).</t>
        </r>
      </text>
    </comment>
    <comment ref="D20" authorId="0" shapeId="0" xr:uid="{9DAD92EC-A4EF-493E-B885-AA29F21FB819}">
      <text>
        <r>
          <rPr>
            <b/>
            <sz val="9"/>
            <color indexed="81"/>
            <rFont val="Tahoma"/>
            <family val="2"/>
          </rPr>
          <t>Verifica que la Caja Fin del Período del CF (Modelo!K46) = Caja y Equivalentes en el Balance (Modelo!K53) en 2029E.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Santucci, Andreas</author>
    <author>ANDREAS SANTUCCI</author>
  </authors>
  <commentList>
    <comment ref="D7" authorId="0" shapeId="0" xr:uid="{63DB0720-8B79-4099-956D-96282262F978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FY2024, https://www.sec.gov/Archives/edgar/data/0001637459/000163745925000011/khc-20241228.htm</t>
        </r>
      </text>
    </comment>
    <comment ref="E7" authorId="0" shapeId="0" xr:uid="{8686154F-220D-4EB7-8272-001150C722AE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FY2024, https://www.sec.gov/Archives/edgar/data/0001637459/000163745925000011/khc-20241228.htm</t>
        </r>
      </text>
    </comment>
    <comment ref="F7" authorId="0" shapeId="0" xr:uid="{640E1149-5788-429F-BE2D-456CE1E36B15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FY2024, https://www.sec.gov/Archives/edgar/data/0001637459/000163745925000011/khc-20241228.htm</t>
        </r>
      </text>
    </comment>
    <comment ref="D8" authorId="0" shapeId="0" xr:uid="{589A8D1B-5A3F-4A71-9A78-ECD77B400479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FY2024, https://www.sec.gov/Archives/edgar/data/0001637459/000163745925000011/khc-20241228.htm</t>
        </r>
      </text>
    </comment>
    <comment ref="E8" authorId="0" shapeId="0" xr:uid="{3F951F2D-98FC-415A-A58A-F7A2540EC2E7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FY2024, https://www.sec.gov/Archives/edgar/data/0001637459/000163745925000011/khc-20241228.htm</t>
        </r>
      </text>
    </comment>
    <comment ref="F8" authorId="0" shapeId="0" xr:uid="{C4609881-6E1F-40B8-A1E7-0342E8513751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FY2024, https://www.sec.gov/Archives/edgar/data/0001637459/000163745925000011/khc-20241228.htm</t>
        </r>
      </text>
    </comment>
    <comment ref="D9" authorId="0" shapeId="0" xr:uid="{32226D8A-CBF1-4E0C-889F-AA6903DE2A6C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FY2024, https://www.sec.gov/Archives/edgar/data/0001637459/000163745925000011/khc-20241228.htm</t>
        </r>
      </text>
    </comment>
    <comment ref="E9" authorId="0" shapeId="0" xr:uid="{F865415E-C48F-42DA-B83C-B98CD3E1CAF5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FY2024, https://www.sec.gov/Archives/edgar/data/0001637459/000163745925000011/khc-20241228.htm</t>
        </r>
      </text>
    </comment>
    <comment ref="F9" authorId="0" shapeId="0" xr:uid="{CF9F0EEE-5FBB-46C2-A4E2-7915C221529A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FY2024, https://www.sec.gov/Archives/edgar/data/0001637459/000163745925000011/khc-20241228.htm</t>
        </r>
      </text>
    </comment>
    <comment ref="G13" authorId="0" shapeId="0" xr:uid="{FF0AE970-34DB-4649-8570-E7CBF04A4167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Supuesto: declive orgánico leve, entorno de consumo presionado en EE.UU.</t>
        </r>
      </text>
    </comment>
    <comment ref="G15" authorId="0" shapeId="0" xr:uid="{4ABD9DC9-0BAF-43D4-8B98-9BEF4471D5A9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Supuesto: mayor crecimiento en mercados emergentes por expansión geográfica</t>
        </r>
      </text>
    </comment>
    <comment ref="G20" authorId="0" shapeId="0" xr:uid="{B96D6B62-7AB1-4310-939A-7C53D6DD9907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Supuesto: margen bruto estabilizado, mejora gradual por eficiencias operativas</t>
        </r>
      </text>
    </comment>
    <comment ref="G21" authorId="0" shapeId="0" xr:uid="{E4E7254E-E3A0-4C93-B9B1-2616B6DA55FF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Supuesto: SG&amp;A se mantiene estable ~14% de ventas</t>
        </r>
      </text>
    </comment>
    <comment ref="D22" authorId="0" shapeId="0" xr:uid="{5E84AA89-160E-4F11-91A5-BDDDDF7B35B5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FY2024, Cash Flow Statement</t>
        </r>
      </text>
    </comment>
    <comment ref="E22" authorId="0" shapeId="0" xr:uid="{ED34CA6F-1E62-4C05-9370-53B0F41A040C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F22" authorId="0" shapeId="0" xr:uid="{47E2342A-DD65-4B28-BA7B-E77F30F69F91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G22" authorId="1" shapeId="0" xr:uid="{2ED83269-24FE-47C8-A632-FA760702473A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D&amp;A = (D&amp;A/PP&amp;E) × PP&amp;E inicio de período (cierre año anterior). Evita circularidad con PP&amp;E roll-forward.</t>
        </r>
      </text>
    </comment>
    <comment ref="D23" authorId="1" shapeId="0" xr:uid="{AE52CA03-0490-4E6E-BEFF-E2EBD510B7F2}">
      <text>
        <r>
          <rPr>
            <b/>
            <sz val="9"/>
            <color indexed="81"/>
            <rFont val="Tahoma"/>
            <charset val="1"/>
          </rPr>
          <t>D&amp;A FY2022 / PP&amp;E FY2022 (mismo año, no hay PP&amp;E anterior disponible)</t>
        </r>
      </text>
    </comment>
    <comment ref="E23" authorId="1" shapeId="0" xr:uid="{141CA8EF-6DE9-4B15-A80E-5CE6277F26F8}">
      <text>
        <r>
          <rPr>
            <b/>
            <sz val="9"/>
            <color indexed="81"/>
            <rFont val="Tahoma"/>
            <charset val="1"/>
          </rPr>
          <t>D&amp;A FY2023 / PP&amp;E inicio (cierre FY2022)</t>
        </r>
      </text>
    </comment>
    <comment ref="F23" authorId="1" shapeId="0" xr:uid="{06A16032-E19A-4E55-B666-BECC6B9FCF42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D&amp;A 2024 / PP&amp;E inicio de período (cierre 2023)</t>
        </r>
      </text>
    </comment>
    <comment ref="G23" authorId="0" shapeId="0" xr:uid="{F3025E5C-804B-4BF4-90F6-9363B69FAFFB}">
      <text>
        <r>
          <rPr>
            <b/>
            <sz val="9"/>
            <color indexed="81"/>
            <rFont val="Tahoma"/>
            <family val="2"/>
          </rPr>
          <t>Supuesto: D&amp;A ~13.3% de PP&amp;E inicio de período, en línea con históricos (13.3-13.5%)</t>
        </r>
      </text>
    </comment>
    <comment ref="D24" authorId="0" shapeId="0" xr:uid="{4C87122E-BBEF-46D1-9EAF-F3969124AE94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E24" authorId="0" shapeId="0" xr:uid="{F962B8D6-D72D-4BCC-8349-1DA91080A010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F24" authorId="0" shapeId="0" xr:uid="{2B4BFCEE-61C3-499A-B83E-EEA0544768EE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G24" authorId="0" shapeId="0" xr:uid="{F2A67CD7-183B-490F-B770-31E6C296406D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Supuesto: deuda LT relativamente estable, leve reducción por repagos netos</t>
        </r>
      </text>
    </comment>
    <comment ref="D25" authorId="0" shapeId="0" xr:uid="{75478D5F-8117-41DF-928C-30E8A8AA57EA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E25" authorId="0" shapeId="0" xr:uid="{8C8BADAB-CE04-45AD-85F2-5348963DCC82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F25" authorId="0" shapeId="0" xr:uid="{06FF9F6B-F1F1-4E46-A44B-DE0EC7EE504F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G25" authorId="0" shapeId="0" xr:uid="{279FDBDD-874D-4585-A41B-6310D68FCD3D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Supuesto: normalizado a cero para proyecciones (no recurrente)</t>
        </r>
      </text>
    </comment>
    <comment ref="F26" authorId="0" shapeId="0" xr:uid="{F675E196-CD90-4991-AE41-559D08316B17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FY2024: beneficio fiscal de -$1,890M por reestructuración corporativa en Países Bajos. Tasa no representativa.</t>
        </r>
      </text>
    </comment>
    <comment ref="G26" authorId="0" shapeId="0" xr:uid="{19460142-AF77-42F2-B1E1-1D8F8E08C30C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Supuesto: tasa normalizada ~22%, federal 21% + state &amp; foreign</t>
        </r>
      </text>
    </comment>
    <comment ref="D27" authorId="0" shapeId="0" xr:uid="{21E64A9A-D623-47B5-8F37-1EC91CE6CD6D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FY2024. Goodwill $444M + Intangible $469M</t>
        </r>
      </text>
    </comment>
    <comment ref="E27" authorId="0" shapeId="0" xr:uid="{572790BE-D055-4325-86FB-939D65BDF6E2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FY2024. Goodwill $510M + Intangible $152M</t>
        </r>
      </text>
    </comment>
    <comment ref="F27" authorId="0" shapeId="0" xr:uid="{DC1DB2AC-6510-450E-AEFD-B55EA5FD12C1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FY2024. Goodwill $1,638M + Intangible $2,031M</t>
        </r>
      </text>
    </comment>
    <comment ref="G27" authorId="0" shapeId="0" xr:uid="{783B67BF-FB10-4616-9174-72903BF8956D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Supuesto: sin impairments proyectados (no recurrente, no predecible)</t>
        </r>
      </text>
    </comment>
    <comment ref="E31" authorId="0" shapeId="0" xr:uid="{22A04E7B-692F-4F55-9221-29094E99873C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FY2024, https://www.sec.gov/Archives/edgar/data/0001637459/000163745925000011/khc-20241228.htm</t>
        </r>
      </text>
    </comment>
    <comment ref="F31" authorId="0" shapeId="0" xr:uid="{58405C18-D1BD-4B68-900D-384F719F6F13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FY2024, https://www.sec.gov/Archives/edgar/data/0001637459/000163745925000011/khc-20241228.htm</t>
        </r>
      </text>
    </comment>
    <comment ref="E32" authorId="0" shapeId="0" xr:uid="{19307E4A-8403-4B3A-BBA8-BD69A71357FE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F32" authorId="0" shapeId="0" xr:uid="{F3428EF3-407B-4B95-AE84-8A0212832F70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E33" authorId="0" shapeId="0" xr:uid="{E5782DAF-7069-4183-A371-6AA51169510D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F33" authorId="0" shapeId="0" xr:uid="{3D8A02A2-B9AA-45AA-9027-0D4800FCDDDE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D41" authorId="0" shapeId="0" xr:uid="{C41C4B4A-2704-45DA-BF00-24204C16244D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FY2024, https://www.sec.gov/Archives/edgar/data/0001637459/000163745925000011/khc-20241228.htm</t>
        </r>
      </text>
    </comment>
    <comment ref="E41" authorId="0" shapeId="0" xr:uid="{3C53E767-2498-4695-8D6F-36F302504AF6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F41" authorId="0" shapeId="0" xr:uid="{EECF3E2B-DA12-424A-A863-698509428C6A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D43" authorId="1" shapeId="0" xr:uid="{229CCA55-E236-4E32-B66A-C42C97D652C1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SEC EDGAR 10-K FY2024, PP&amp;E Neto al cierre FY2022
https://www.sec.gov/Archives/edgar/data/0001637459/000163745925000011/khc-20241228.htm</t>
        </r>
      </text>
    </comment>
    <comment ref="E43" authorId="0" shapeId="0" xr:uid="{93F34DD5-2620-43F9-A9D4-09CC13D5E8EA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F43" authorId="0" shapeId="0" xr:uid="{E6ECE200-30CD-4582-81A3-A9BF365D6D88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E44" authorId="1" shapeId="0" xr:uid="{7CB0C1A8-1F0A-471C-A84E-461C9126A884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SEC EDGAR 10-K FY2024, Goodwill $30,459M + Intangibles $42,448M
https://www.sec.gov/Archives/edgar/data/0001637459/000163745925000011/khc-20241228.htm</t>
        </r>
      </text>
    </comment>
    <comment ref="F44" authorId="1" shapeId="0" xr:uid="{3A9E541B-510D-4066-87EE-6F8476FA3ACE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SEC EDGAR 10-K FY2024, Goodwill $28,673M + Intangibles $40,099M
https://www.sec.gov/Archives/edgar/data/0001637459/000163745925000011/khc-20241228.htm</t>
        </r>
      </text>
    </comment>
    <comment ref="G44" authorId="1" shapeId="0" xr:uid="{37FBDF51-9F23-441E-9960-8495A7E04739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Proyección: valor anterior menos impairments del período (si hubiera)</t>
        </r>
      </text>
    </comment>
    <comment ref="E45" authorId="1" shapeId="0" xr:uid="{6196878B-45DF-493B-B84F-6DB757297F59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SEC EDGAR 10-K FY2024
https://www.sec.gov/Archives/edgar/data/0001637459/000163745925000011/khc-20241228.htm</t>
        </r>
      </text>
    </comment>
    <comment ref="F45" authorId="1" shapeId="0" xr:uid="{28AC7B0B-5ABE-4AA5-A4F3-F5E4F48C3719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SEC EDGAR 10-K FY2024
https://www.sec.gov/Archives/edgar/data/0001637459/000163745925000011/khc-20241228.htm</t>
        </r>
      </text>
    </comment>
    <comment ref="G45" authorId="1" shapeId="0" xr:uid="{88020F3D-C874-4086-91B2-E245DD47A24B}">
      <text>
        <r>
          <rPr>
            <b/>
            <sz val="9"/>
            <color indexed="81"/>
            <rFont val="Tahoma"/>
            <charset val="1"/>
          </rPr>
          <t>Caja fin de período, calculada en Modelo!G44 (Estado de Flujo de Caja)</t>
        </r>
      </text>
    </comment>
    <comment ref="E46" authorId="1" shapeId="0" xr:uid="{2437A733-BCF2-4537-82DA-B4A3A5057658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SEC EDGAR 10-K FY2024
https://www.sec.gov/Archives/edgar/data/0001637459/000163745925000011/khc-20241228.htm</t>
        </r>
      </text>
    </comment>
    <comment ref="F46" authorId="1" shapeId="0" xr:uid="{566D085A-6985-4CE1-A28C-08200F987DFA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SEC EDGAR 10-K FY2024
https://www.sec.gov/Archives/edgar/data/0001637459/000163745925000011/khc-20241228.htm</t>
        </r>
      </text>
    </comment>
    <comment ref="G46" authorId="1" shapeId="0" xr:uid="{CD19C72D-7C81-48EB-9309-A50CEBBA54BC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Supuesto: flat - mantiene último valor histórico</t>
        </r>
      </text>
    </comment>
    <comment ref="E48" authorId="1" shapeId="0" xr:uid="{740EE4B0-38EC-433D-9A89-037A89F97128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SEC EDGAR 10-K FY2024
https://www.sec.gov/Archives/edgar/data/0001637459/000163745925000011/khc-20241228.htm</t>
        </r>
      </text>
    </comment>
    <comment ref="F48" authorId="1" shapeId="0" xr:uid="{E959D25C-7397-4FDD-92C8-080CCD229A82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SEC EDGAR 10-K FY2024
https://www.sec.gov/Archives/edgar/data/0001637459/000163745925000011/khc-20241228.htm</t>
        </r>
      </text>
    </comment>
    <comment ref="G48" authorId="1" shapeId="0" xr:uid="{5B958A31-1A40-447C-BBA2-CCB2F12328AC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Supuesto: estable ~$650M, en línea con vencimientos programados</t>
        </r>
      </text>
    </comment>
    <comment ref="E49" authorId="1" shapeId="0" xr:uid="{4346C41A-EDD7-4E35-A717-1EE9257166DA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SEC EDGAR 10-K FY2024. Accrued postemployment $143M + LT deferred income $1,424M + Other NCL $1,418M = $2,985M
https://www.sec.gov/Archives/edgar/data/0001637459/000163745925000011/khc-20241228.htm</t>
        </r>
      </text>
    </comment>
    <comment ref="F49" authorId="1" shapeId="0" xr:uid="{6C418C69-B877-41CB-86C2-DF3ED9D8F3F6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SEC EDGAR 10-K FY2024. Accrued postemployment $135M + LT deferred income $1,374M + Other NCL $1,306M = $2,815M
https://www.sec.gov/Archives/edgar/data/0001637459/000163745925000011/khc-20241228.htm</t>
        </r>
      </text>
    </comment>
    <comment ref="G49" authorId="1" shapeId="0" xr:uid="{3FB702AF-CEE4-4956-B386-7E71856AC5F7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Supuesto: flat - mantiene último valor histórico</t>
        </r>
      </text>
    </comment>
    <comment ref="E52" authorId="1" shapeId="0" xr:uid="{59C1E88A-2C38-40C9-AFD6-9891D6C74F1C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SEC EDGAR 10-K FY2024. Common stock $12M + APIC $52,037M = $52,049M
https://www.sec.gov/Archives/edgar/data/0001637459/000163745925000011/khc-20241228.htm</t>
        </r>
      </text>
    </comment>
    <comment ref="F52" authorId="1" shapeId="0" xr:uid="{35C21FAE-87BE-444E-A2E0-4DBB01F092FC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SEC EDGAR 10-K FY2024. Common stock $12M + APIC $52,135M = $52,147M
https://www.sec.gov/Archives/edgar/data/0001637459/000163745925000011/khc-20241228.htm</t>
        </r>
      </text>
    </comment>
    <comment ref="G52" authorId="1" shapeId="0" xr:uid="{BB2A0AA6-351E-482E-9E1F-4DAB4DF995D9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Supuesto: flat - sin emisiones significativas esperadas</t>
        </r>
      </text>
    </comment>
    <comment ref="E53" authorId="1" shapeId="0" xr:uid="{7758F30E-AA6E-4D56-950D-6A4F8370E850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SEC EDGAR 10-K FY2024
https://www.sec.gov/Archives/edgar/data/0001637459/000163745925000011/khc-20241228.htm</t>
        </r>
      </text>
    </comment>
    <comment ref="F53" authorId="1" shapeId="0" xr:uid="{25E23C0A-B405-4BBE-916B-C07D68C3AD3A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SEC EDGAR 10-K FY2024
https://www.sec.gov/Archives/edgar/data/0001637459/000163745925000011/khc-20241228.htm</t>
        </r>
      </text>
    </comment>
    <comment ref="G53" authorId="1" shapeId="0" xr:uid="{E36C8A2E-8BD5-4E42-A0D0-6D29EAE9539E}">
      <text>
        <r>
          <rPr>
            <b/>
            <sz val="9"/>
            <color indexed="81"/>
            <rFont val="Tahoma"/>
            <charset val="1"/>
          </rPr>
          <t>Utilidades Retenidas = RE anterior + Utilidad Neta - Dividendos. Calculado en Modelo!G82.</t>
        </r>
      </text>
    </comment>
    <comment ref="E54" authorId="1" shapeId="0" xr:uid="{E9296299-5F2A-4D1B-8E71-80A04C40DDA6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SEC EDGAR 10-K FY2024
https://www.sec.gov/Archives/edgar/data/0001637459/000163745925000011/khc-20241228.htm</t>
        </r>
      </text>
    </comment>
    <comment ref="F54" authorId="1" shapeId="0" xr:uid="{00E52A19-DAFF-4747-8886-968B9D74147C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SEC EDGAR 10-K FY2024
https://www.sec.gov/Archives/edgar/data/0001637459/000163745925000011/khc-20241228.htm</t>
        </r>
      </text>
    </comment>
    <comment ref="E55" authorId="1" shapeId="0" xr:uid="{D51EAAF6-308C-4266-A1DF-85A743DABDF6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Calculado del 10-K FY2024. Total equity KHC $49,185M - CS $12M - APIC $52,037M - RE $1,367M + Treasury $1,286M = ($2,915M)</t>
        </r>
      </text>
    </comment>
    <comment ref="F55" authorId="1" shapeId="0" xr:uid="{91612954-E52C-4CF7-8248-AB1B8DA17D42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Calculado del 10-K FY2024. Total equity KHC $49,185M - CS $12M - APIC $52,135M - RE $2,171M + Treasury $2,218M = ($2,915M)</t>
        </r>
      </text>
    </comment>
    <comment ref="G55" authorId="1" shapeId="0" xr:uid="{73292F0C-6133-4730-883F-BF55EFB7ADCE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Supuesto: flat - difícil de proyectar (FX, pensiones)</t>
        </r>
      </text>
    </comment>
    <comment ref="E59" authorId="0" shapeId="0" xr:uid="{A95BC335-3FF8-4A35-B310-893552C0984E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FY2024, https://www.sec.gov/Archives/edgar/data/0001637459/000163745925000011/khc-20241228.htm</t>
        </r>
      </text>
    </comment>
    <comment ref="F59" authorId="0" shapeId="0" xr:uid="{363EF2A0-1BC1-4C58-AB18-447E12C72B88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E60" authorId="0" shapeId="0" xr:uid="{14E18B1B-7EB3-4124-91D3-4738B6D25BE4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F60" authorId="0" shapeId="0" xr:uid="{0BA27074-D1B8-4C55-8019-C61690AB56A2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D62" authorId="0" shapeId="0" xr:uid="{4A708706-FBF4-4DA8-8084-44CB05E2D9E2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E62" authorId="0" shapeId="0" xr:uid="{83B0FF8C-0645-466E-B547-93A8866D601A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F62" authorId="0" shapeId="0" xr:uid="{1B298A94-DB7E-4081-BBA3-BA796B62550B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</t>
        </r>
      </text>
    </comment>
    <comment ref="D63" authorId="0" shapeId="0" xr:uid="{53250A8E-4816-429D-970C-BB801A8CB938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SEC EDGAR 10-K FY2024 - Weighted avg diluted</t>
        </r>
      </text>
    </comment>
    <comment ref="D67" authorId="1" shapeId="0" xr:uid="{5F5E1A43-E8C3-4EE7-95C4-A14357C6B383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Santucci, Andreas:
Supuesto: WACC estimado ~9%. Se debe calcular formalmente en hoja Resultados.</t>
        </r>
      </text>
    </comment>
    <comment ref="D68" authorId="1" shapeId="0" xr:uid="{77C90A8C-F31F-4F0F-9343-55DF84BA5805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Santucci, Andreas:
Supuesto: crecimiento perpetuo ~2%, en línea con inflación a largo plazo.</t>
        </r>
      </text>
    </comment>
    <comment ref="D69" authorId="1" shapeId="0" xr:uid="{03B96867-4DAC-4C45-B5BB-F99FC8FF6EFE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Santucci, Andreas:
Supuesto: múltiplo de salida ~10x EV/EBITDA, comparable con pares del sector Consumer Staples.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ANDREAS SANTUCCI</author>
    <author>Santucci, Andreas</author>
  </authors>
  <commentList>
    <comment ref="D7" authorId="0" shapeId="0" xr:uid="{A95722E1-C5A6-4384-96ED-3A70367C4B16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COGS = Ventas × (1 - Margen Bruto). Supuesto desde Supuestos!fila 20</t>
        </r>
      </text>
    </comment>
    <comment ref="D9" authorId="0" shapeId="0" xr:uid="{C84F8D15-DACA-428F-9C29-C9C615D23C04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SG&amp;A = Ventas × SG&amp;A/Ventas % (Supuestos fila 21)</t>
        </r>
      </text>
    </comment>
    <comment ref="D10" authorId="0" shapeId="0" xr:uid="{B12EE313-7A5F-4021-BC65-8DC8FA8CF7ED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D&amp;A vinculado a Supuestos!fila 22. Pendiente: vincular a schedule de Auxiliares cuando exista.</t>
        </r>
      </text>
    </comment>
    <comment ref="D13" authorId="0" shapeId="0" xr:uid="{F3264483-D22A-4A5C-BD2F-2F4FE22254E7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Gasto por Intereses vinculado a Supuestos!fila 24. Pendiente: vincular a schedule de deuda en Auxiliares.</t>
        </r>
      </text>
    </comment>
    <comment ref="D16" authorId="0" shapeId="0" xr:uid="{3E77DF6C-9DF9-477A-82B1-DA9333CC9485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Impuesto = EBT × Tasa Efectiva (Supuestos!fila 26)</t>
        </r>
      </text>
    </comment>
    <comment ref="F16" authorId="0" shapeId="0" xr:uid="{FD36F0BC-4728-4C5E-9A23-9C7C2882DC77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SEC EDGAR 10-K FY2024. Beneficio fiscal de $1,561M (tasa efectiva -220.5%) por reestructuración corporativa en Países Bajos. Hardcoded ya que la tasa fue N/A.
https://www.sec.gov/Archives/edgar/data/0001637459/000163745925000011/khc-20241228.htm</t>
        </r>
      </text>
    </comment>
    <comment ref="D25" authorId="0" shapeId="0" xr:uid="{7244F674-086C-47E6-BF82-CCDABB3E932B}">
      <text>
        <r>
          <rPr>
            <b/>
            <sz val="9"/>
            <color indexed="81"/>
            <rFont val="Tahoma"/>
            <family val="2"/>
          </rPr>
          <t>ANDREAS SANTUCCI:</t>
        </r>
        <r>
          <rPr>
            <sz val="9"/>
            <color indexed="81"/>
            <rFont val="Tahoma"/>
            <family val="2"/>
          </rPr>
          <t xml:space="preserve">
Sin dato 2021 para calcular Δ</t>
        </r>
      </text>
    </comment>
    <comment ref="E25" authorId="0" shapeId="0" xr:uid="{8B199349-82A7-466B-8C7A-CEAEE75CA8AF}">
      <text>
        <r>
          <rPr>
            <b/>
            <sz val="9"/>
            <color indexed="81"/>
            <rFont val="Tahoma"/>
            <family val="2"/>
          </rPr>
          <t>ANDREAS SANTUCCI:</t>
        </r>
        <r>
          <rPr>
            <sz val="9"/>
            <color indexed="81"/>
            <rFont val="Tahoma"/>
            <family val="2"/>
          </rPr>
          <t xml:space="preserve">
Sin Δ Imp.Dif. 2022→2023 — dato 2022 no cargado en Supuestos</t>
        </r>
      </text>
    </comment>
    <comment ref="F25" authorId="0" shapeId="0" xr:uid="{BE282119-4817-4538-AFD9-FC919A29E9EA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Δ Impuestos Diferidos = Supuestos!F60 - Supuestos!E60. Aumento de pasivo = fuente de caja.</t>
        </r>
      </text>
    </comment>
    <comment ref="F26" authorId="0" shapeId="0" xr:uid="{A59C4224-8CD2-43DF-86ED-F87EC53E3827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Δ AR. Aumento de AR = uso de caja (signo negativo).</t>
        </r>
      </text>
    </comment>
    <comment ref="F27" authorId="0" shapeId="0" xr:uid="{462FE34B-4C9A-4E20-B14C-B1722B99F76C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Δ Inventarios. Aumento = uso de caja.</t>
        </r>
      </text>
    </comment>
    <comment ref="F28" authorId="0" shapeId="0" xr:uid="{6B69FF7E-2A2A-417F-8C5B-B9C7EDFB7AB3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Δ AP. Aumento = fuente de caja.</t>
        </r>
      </text>
    </comment>
    <comment ref="F37" authorId="0" shapeId="0" xr:uid="{C327F1D1-E32B-4AA7-B96B-20E5D0129815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Δ Deuda LP. Aumento = fuente de caja (emisión neta). Disminución = repago.</t>
        </r>
      </text>
    </comment>
    <comment ref="G37" authorId="1" shapeId="0" xr:uid="{0666DBDE-E189-4800-ADF7-0F9D5554BFA7}">
      <text>
        <r>
          <rPr>
            <b/>
            <sz val="9"/>
            <color indexed="81"/>
            <rFont val="Tahoma"/>
            <charset val="1"/>
          </rPr>
          <t>Δ Deuda Total = Δ (Deuda LP + Porción Corriente). Captura repago efectivo de toda la deuda financiera en el año.</t>
        </r>
      </text>
    </comment>
    <comment ref="H37" authorId="1" shapeId="0" xr:uid="{9C5D9190-0BC4-4BB4-A9ED-2A1C5EB51FF2}">
      <text>
        <r>
          <rPr>
            <b/>
            <sz val="9"/>
            <color indexed="81"/>
            <rFont val="Tahoma"/>
            <charset val="1"/>
          </rPr>
          <t>Δ Deuda Total = Δ (Deuda LP + Porción Corriente). Captura repago efectivo de toda la deuda financiera en el año.</t>
        </r>
      </text>
    </comment>
    <comment ref="I37" authorId="1" shapeId="0" xr:uid="{F515F019-7C3A-4F6B-807B-954A98510715}">
      <text>
        <r>
          <rPr>
            <b/>
            <sz val="9"/>
            <color indexed="81"/>
            <rFont val="Tahoma"/>
            <charset val="1"/>
          </rPr>
          <t>Δ Deuda Total = Δ (Deuda LP + Porción Corriente). Captura repago efectivo de toda la deuda financiera en el año.</t>
        </r>
      </text>
    </comment>
    <comment ref="J37" authorId="1" shapeId="0" xr:uid="{7565EA62-8411-43A4-A006-9301A28D32C8}">
      <text>
        <r>
          <rPr>
            <b/>
            <sz val="9"/>
            <color indexed="81"/>
            <rFont val="Tahoma"/>
            <charset val="1"/>
          </rPr>
          <t>Δ Deuda Total = Δ (Deuda LP + Porción Corriente). Captura repago efectivo de toda la deuda financiera en el año.</t>
        </r>
      </text>
    </comment>
    <comment ref="K37" authorId="1" shapeId="0" xr:uid="{6361E5F4-F8FD-4B2C-A0F8-10B012883AF9}">
      <text>
        <r>
          <rPr>
            <b/>
            <sz val="9"/>
            <color indexed="81"/>
            <rFont val="Tahoma"/>
            <charset val="1"/>
          </rPr>
          <t>Δ Deuda Total = Δ (Deuda LP + Porción Corriente). Captura repago efectivo de toda la deuda financiera en el año.</t>
        </r>
      </text>
    </comment>
    <comment ref="F39" authorId="0" shapeId="0" xr:uid="{04C358CF-47E8-4B94-9B49-B88036C52585}">
      <text>
        <r>
          <rPr>
            <b/>
            <sz val="9"/>
            <color indexed="81"/>
            <rFont val="Tahoma"/>
            <family val="2"/>
          </rPr>
          <t>ANDREAS SANTUCCI:</t>
        </r>
        <r>
          <rPr>
            <sz val="9"/>
            <color indexed="81"/>
            <rFont val="Tahoma"/>
            <family val="2"/>
          </rPr>
          <t xml:space="preserve">
Source: SEC EDGAR 10-K FY2024. Treasury stock aumentó de $1,286M (2023) a $2,218M (2024) = $932M en recompras</t>
        </r>
      </text>
    </comment>
    <comment ref="G39" authorId="0" shapeId="0" xr:uid="{B839FC14-2A0B-4980-BEA0-688F43FA85D8}">
      <text>
        <r>
          <rPr>
            <b/>
            <sz val="9"/>
            <color indexed="81"/>
            <rFont val="Tahoma"/>
            <family val="2"/>
          </rPr>
          <t>ANDREAS SANTUCCI:</t>
        </r>
        <r>
          <rPr>
            <sz val="9"/>
            <color indexed="81"/>
            <rFont val="Tahoma"/>
            <family val="2"/>
          </rPr>
          <t xml:space="preserve">
Supuesto: sin recompras proyectadas (no anunciadas)</t>
        </r>
      </text>
    </comment>
    <comment ref="F43" authorId="0" shapeId="0" xr:uid="{5329827F-27F5-42CC-A279-9D869B18B397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Caja inicio FY2024 = saldo final FY2023 ($1,400M de Supuestos!E45)</t>
        </r>
      </text>
    </comment>
    <comment ref="G43" authorId="0" shapeId="0" xr:uid="{DD5ACDD3-296A-445B-AA5B-AF37443D74D5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Caja inicio = caja fin del período anterior</t>
        </r>
      </text>
    </comment>
    <comment ref="H43" authorId="0" shapeId="0" xr:uid="{1A61222E-2168-4948-8042-52648792BA46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Caja inicio = caja fin del período anterior</t>
        </r>
      </text>
    </comment>
    <comment ref="I43" authorId="0" shapeId="0" xr:uid="{EB0E2952-77F2-4919-BD3E-BB8B65A840FB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Caja inicio = caja fin del período anterior</t>
        </r>
      </text>
    </comment>
    <comment ref="J43" authorId="0" shapeId="0" xr:uid="{4FC0F1BE-8F43-422F-A74C-F56D2F36FD34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Caja inicio = caja fin del período anterior</t>
        </r>
      </text>
    </comment>
    <comment ref="K43" authorId="0" shapeId="0" xr:uid="{AEE9C534-2893-44CB-BC94-70ECCE032BD5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Caja inicio = caja fin del período anterior</t>
        </r>
      </text>
    </comment>
    <comment ref="E44" authorId="0" shapeId="0" xr:uid="{06C58DF8-14E4-4AD0-A1F9-127396FA35EC}">
      <text>
        <r>
          <rPr>
            <b/>
            <sz val="9"/>
            <color indexed="81"/>
            <rFont val="Tahoma"/>
            <family val="2"/>
          </rPr>
          <t>ANDREAS SANTUCCI:</t>
        </r>
        <r>
          <rPr>
            <sz val="9"/>
            <color indexed="81"/>
            <rFont val="Tahoma"/>
            <family val="2"/>
          </rPr>
          <t xml:space="preserve">
Caja final FY2023 = $1,400M (10-K). Hardcoded para anclar la cadena de caja proyectada.</t>
        </r>
      </text>
    </comment>
    <comment ref="F51" authorId="0" shapeId="0" xr:uid="{1029AF01-0E7E-4B2B-8DFC-2605C256A70D}">
      <text>
        <r>
          <rPr>
            <b/>
            <sz val="9"/>
            <color indexed="81"/>
            <rFont val="Tahoma"/>
            <family val="2"/>
          </rPr>
          <t>ANDREAS SANTUCCI:</t>
        </r>
        <r>
          <rPr>
            <sz val="9"/>
            <color indexed="81"/>
            <rFont val="Tahoma"/>
            <family val="2"/>
          </rPr>
          <t xml:space="preserve">
Vinculado a Caja Fin del Período del Flujo de Caja (F44)</t>
        </r>
      </text>
    </comment>
    <comment ref="E54" authorId="0" shapeId="0" xr:uid="{68963240-8E2B-4AD4-A732-FF463922F00E}">
      <text>
        <r>
          <rPr>
            <b/>
            <sz val="9"/>
            <color indexed="81"/>
            <rFont val="Tahoma"/>
            <family val="2"/>
          </rPr>
          <t>ANDREAS SANTUCCI:</t>
        </r>
        <r>
          <rPr>
            <sz val="9"/>
            <color indexed="81"/>
            <rFont val="Tahoma"/>
            <family val="2"/>
          </rPr>
          <t xml:space="preserve">
Source: SEC EDGAR 10-K FY2024. Other current assets $569M + Prepaid expenses $234M = $803M (cierre FY2023)
https://www.sec.gov/Archives/edgar/data/0001637459/000163745925000011/khc-20241228.htm</t>
        </r>
      </text>
    </comment>
    <comment ref="F54" authorId="0" shapeId="0" xr:uid="{A9AE2E1F-A9C0-4D8C-9FAC-2AB4FFA34C6D}">
      <text>
        <r>
          <rPr>
            <b/>
            <sz val="9"/>
            <color indexed="81"/>
            <rFont val="Tahoma"/>
            <family val="2"/>
          </rPr>
          <t>ANDREAS SANTUCCI:</t>
        </r>
        <r>
          <rPr>
            <sz val="9"/>
            <color indexed="81"/>
            <rFont val="Tahoma"/>
            <family val="2"/>
          </rPr>
          <t xml:space="preserve">
Source: SEC EDGAR 10-K FY2024. Other current assets $583M + Prepaid expenses $215M = $798M (cierre FY2024)
https://www.sec.gov/Archives/edgar/data/0001637459/000163745925000011/khc-20241228.htm</t>
        </r>
      </text>
    </comment>
    <comment ref="G54" authorId="0" shapeId="0" xr:uid="{C04FCB51-AC6E-4852-81A9-AB2B59849961}">
      <text>
        <r>
          <rPr>
            <b/>
            <sz val="9"/>
            <color indexed="81"/>
            <rFont val="Tahoma"/>
            <family val="2"/>
          </rPr>
          <t>ANDREAS SANTUCCI:</t>
        </r>
        <r>
          <rPr>
            <sz val="9"/>
            <color indexed="81"/>
            <rFont val="Tahoma"/>
            <family val="2"/>
          </rPr>
          <t xml:space="preserve">
Supuesto: flat - mantiene último valor histórico</t>
        </r>
      </text>
    </comment>
    <comment ref="G58" authorId="0" shapeId="0" xr:uid="{FFCA8062-500A-4140-858C-B13EEA7EC546}">
      <text>
        <r>
          <rPr>
            <b/>
            <sz val="9"/>
            <color indexed="81"/>
            <rFont val="Tahoma"/>
            <family val="2"/>
          </rPr>
          <t>ANDREAS SANTUCCI:</t>
        </r>
        <r>
          <rPr>
            <sz val="9"/>
            <color indexed="81"/>
            <rFont val="Tahoma"/>
            <family val="2"/>
          </rPr>
          <t xml:space="preserve">
PP&amp;E = año anterior + Capex - D&amp;A</t>
        </r>
      </text>
    </comment>
    <comment ref="E69" authorId="0" shapeId="0" xr:uid="{BCD2ACFE-124A-4E7C-AB00-B8FCC277B583}">
      <text>
        <r>
          <rPr>
            <b/>
            <sz val="9"/>
            <color indexed="81"/>
            <rFont val="Tahoma"/>
            <family val="2"/>
          </rPr>
          <t>Source: SEC EDGAR 10-K FY2023 (khc-20231230.htm). Otros Pasivos Corrientes reales: calculado por diferencia — Total Pasivos reales FY2023 ($40,932M) menos Pasivos No Corrientes ($32,580M) menos AP ($4,627M) menos Porción Cte. Deuda LP ($638M) = $3,087M. Incluye accrued marketing, interest payable, income taxes payable, dividends payable y otros pasivos corrientes misceláneos.</t>
        </r>
      </text>
    </comment>
    <comment ref="F69" authorId="0" shapeId="0" xr:uid="{E49DF301-9122-49BB-A5F2-108DE9F54414}">
      <text>
        <r>
          <rPr>
            <b/>
            <sz val="9"/>
            <color indexed="81"/>
            <rFont val="Tahoma"/>
            <family val="2"/>
          </rPr>
          <t>Source: SEC EDGAR 10-K FY2024 (khc-20241228.htm). Otros Pasivos Corrientes reales: calculado por diferencia — Total Pasivos reales FY2024 ($40,126M) menos Pasivos No Corrientes ($31,709M) menos AP ($4,188M) menos Porción Cte. Deuda LP ($654M) = $3,575M. Incluye accrued marketing $697M, interest payable $263M, income taxes payable, dividends payable y otros pasivos corrientes.</t>
        </r>
      </text>
    </comment>
    <comment ref="G69" authorId="0" shapeId="0" xr:uid="{E5C62035-9584-4B75-A659-018D3C7E1F0F}">
      <text>
        <r>
          <rPr>
            <b/>
            <sz val="9"/>
            <color indexed="81"/>
            <rFont val="Tahoma"/>
            <family val="2"/>
          </rPr>
          <t>Supuesto: flat — mantiene último valor histórico real (FY2024 = $3,575M desde 10-K)</t>
        </r>
      </text>
    </comment>
    <comment ref="G73" authorId="0" shapeId="0" xr:uid="{40100F83-551F-47E7-9CA3-047095F641B9}">
      <text>
        <r>
          <rPr>
            <b/>
            <sz val="9"/>
            <color indexed="81"/>
            <rFont val="Tahoma"/>
            <family val="2"/>
          </rPr>
          <t>Deuda LP segun supuesto de Supuestos!G59. El Δ deuda total (LP + porción cte) está capturado en CFF!G39.</t>
        </r>
      </text>
    </comment>
    <comment ref="H73" authorId="0" shapeId="0" xr:uid="{EDAB26EF-3E3C-4DF6-B489-A6B357CDCC32}">
      <text>
        <r>
          <rPr>
            <b/>
            <sz val="9"/>
            <color indexed="81"/>
            <rFont val="Tahoma"/>
            <family val="2"/>
          </rPr>
          <t>Deuda LP segun supuesto de Supuestos!G59. El Δ deuda total (LP + porción cte) está capturado en CFF!G39.</t>
        </r>
      </text>
    </comment>
    <comment ref="I73" authorId="0" shapeId="0" xr:uid="{7B17137C-DF65-4144-BFF3-E4CA04FA1BE4}">
      <text>
        <r>
          <rPr>
            <b/>
            <sz val="9"/>
            <color indexed="81"/>
            <rFont val="Tahoma"/>
            <family val="2"/>
          </rPr>
          <t>Deuda LP segun supuesto de Supuestos!G59. El Δ deuda total (LP + porción cte) está capturado en CFF!G39.</t>
        </r>
      </text>
    </comment>
    <comment ref="J73" authorId="0" shapeId="0" xr:uid="{C394E643-1144-49A4-B62C-B82C6668F1BA}">
      <text>
        <r>
          <rPr>
            <b/>
            <sz val="9"/>
            <color indexed="81"/>
            <rFont val="Tahoma"/>
            <family val="2"/>
          </rPr>
          <t>Deuda LP segun supuesto de Supuestos!G59. El Δ deuda total (LP + porción cte) está capturado en CFF!G39.</t>
        </r>
      </text>
    </comment>
    <comment ref="K73" authorId="0" shapeId="0" xr:uid="{3875E477-E8CF-4F61-A815-AEC0CA212533}">
      <text>
        <r>
          <rPr>
            <b/>
            <sz val="9"/>
            <color indexed="81"/>
            <rFont val="Tahoma"/>
            <family val="2"/>
          </rPr>
          <t>Deuda LP segun supuesto de Supuestos!G59. El Δ deuda total (LP + porción cte) está capturado en CFF!G39.</t>
        </r>
      </text>
    </comment>
    <comment ref="G82" authorId="0" shapeId="0" xr:uid="{AE02F8E0-8843-4DCD-A307-D9FACDC5A950}">
      <text>
        <r>
          <rPr>
            <b/>
            <sz val="9"/>
            <color indexed="81"/>
            <rFont val="Tahoma"/>
            <family val="2"/>
          </rPr>
          <t>ANDREAS SANTUCCI:</t>
        </r>
        <r>
          <rPr>
            <sz val="9"/>
            <color indexed="81"/>
            <rFont val="Tahoma"/>
            <family val="2"/>
          </rPr>
          <t xml:space="preserve">
RE = RE anterior + Utilidad Neta - Dividendos (G39 ya es negativo)</t>
        </r>
      </text>
    </comment>
    <comment ref="E85" authorId="0" shapeId="0" xr:uid="{8AAA2BB9-3BC3-4508-8310-F84FE4CE3172}">
      <text>
        <r>
          <rPr>
            <b/>
            <sz val="9"/>
            <color indexed="81"/>
            <rFont val="Tahoma"/>
            <family val="2"/>
          </rPr>
          <t>Source: SEC EDGAR 10-K FY2023 (khc-20231230.htm). Noncontrolling interest $192M (FY2023 balance sheet). Corrected from $162M which was erroneously sourced from FY2024 filing comparative column.</t>
        </r>
      </text>
    </comment>
    <comment ref="F85" authorId="0" shapeId="0" xr:uid="{F0250947-3286-4920-80DC-C9257A499120}">
      <text>
        <r>
          <rPr>
            <b/>
            <sz val="9"/>
            <color indexed="81"/>
            <rFont val="Tahoma"/>
            <family val="2"/>
          </rPr>
          <t>ANDREAS SANTUCCI:</t>
        </r>
        <r>
          <rPr>
            <sz val="9"/>
            <color indexed="81"/>
            <rFont val="Tahoma"/>
            <family val="2"/>
          </rPr>
          <t xml:space="preserve">
Source: SEC EDGAR 10-K FY2024. Noncontrolling interest $134M (FY2024)</t>
        </r>
      </text>
    </comment>
    <comment ref="G85" authorId="0" shapeId="0" xr:uid="{EE651D1F-F54E-4DE9-86EC-26AEADEBB0EE}">
      <text>
        <r>
          <rPr>
            <b/>
            <sz val="9"/>
            <color indexed="81"/>
            <rFont val="Tahoma"/>
            <family val="2"/>
          </rPr>
          <t>ANDREAS SANTUCCI:</t>
        </r>
        <r>
          <rPr>
            <sz val="9"/>
            <color indexed="81"/>
            <rFont val="Tahoma"/>
            <family val="2"/>
          </rPr>
          <t xml:space="preserve">
Supuesto: flat - sin cambios significativos esperados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Santucci, Andreas</author>
  </authors>
  <commentList>
    <comment ref="B31" authorId="0" shapeId="0" xr:uid="{84D406ED-6980-44A6-9652-C71263A8336D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EBIT / Gasto por Intereses. Cuántas veces la utilidad operativa cubre el gasto financiero. &gt;5x saludable; &lt;2x estrés.</t>
        </r>
      </text>
    </comment>
    <comment ref="B32" authorId="0" shapeId="0" xr:uid="{F93B9008-570D-4013-81D7-8E314958B0A5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Flujo de Caja Libre / Dividendos Pagados. &gt;1.0x el dividendo es autofinanciado por FCF.</t>
        </r>
      </text>
    </comment>
    <comment ref="B33" authorId="0" shapeId="0" xr:uid="{C994D889-B78D-419F-BA40-59C0149E1518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Dividendos / Utilidad Neta. % de la utilidad pagada como dividendo. &gt;100% no es sostenible sin recortar.</t>
        </r>
      </text>
    </comment>
    <comment ref="B34" authorId="0" shapeId="0" xr:uid="{2CEF6350-4843-4F2D-A777-4C0F47078B23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(Deuda LP + Porción Cte) / (Deuda Total + Patrimonio). Apalancamiento estructural.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<sst xmlns="http://schemas.openxmlformats.org/spreadsheetml/2006/main" count="252" uniqueCount="177">
  <si>
    <t>THE KRAFT HEINZ COMPANY (KHC)</t>
  </si>
  <si>
    <t>Modelo Financiero Proyectado — 5 Años</t>
  </si>
  <si>
    <t>INFORMACIÓN DEL MODELO</t>
  </si>
  <si>
    <t>Autor:</t>
  </si>
  <si>
    <t>Fecha de Creación:</t>
  </si>
  <si>
    <t>Última Actualización:</t>
  </si>
  <si>
    <t>Fuente de Datos:</t>
  </si>
  <si>
    <t>Último 10-K de la SEC (FY 2024)</t>
  </si>
  <si>
    <t>Ticker:</t>
  </si>
  <si>
    <t>KHC (NASDAQ)</t>
  </si>
  <si>
    <t>Moneda:</t>
  </si>
  <si>
    <t>USD (en millones)</t>
  </si>
  <si>
    <t>Versión:</t>
  </si>
  <si>
    <t>v1.0</t>
  </si>
  <si>
    <t>ESTADO DEL MODELO</t>
  </si>
  <si>
    <t>ÍNDICE DE CONTENIDOS</t>
  </si>
  <si>
    <t>CONVENCIONES DE COLOR</t>
  </si>
  <si>
    <t>■  Azul</t>
  </si>
  <si>
    <t>Datos duros / Inputs manuales (hardcoded)</t>
  </si>
  <si>
    <t>■  Negro</t>
  </si>
  <si>
    <t>Fórmulas y cálculos dentro de la misma hoja</t>
  </si>
  <si>
    <t>■  Verde</t>
  </si>
  <si>
    <t>Referencias cruzadas a otras hojas del modelo</t>
  </si>
  <si>
    <t>■  Rojo</t>
  </si>
  <si>
    <t>Links externos a otros archivos</t>
  </si>
  <si>
    <t>Santucci Andreas</t>
  </si>
  <si>
    <t xml:space="preserve">Confidencial — Solo para uso interno  </t>
  </si>
  <si>
    <t>1. INGRESOS POR SEGMENTO</t>
  </si>
  <si>
    <t>Ventas Netas por Segmento</t>
  </si>
  <si>
    <t>($mm)</t>
  </si>
  <si>
    <t>$mm</t>
  </si>
  <si>
    <t>Ventas Netas Totales</t>
  </si>
  <si>
    <t>Crecimiento por Segmento</t>
  </si>
  <si>
    <t>(%)</t>
  </si>
  <si>
    <t>%</t>
  </si>
  <si>
    <t>Crecimiento Total Ventas Netas</t>
  </si>
  <si>
    <t>2. MÁRGENES Y GASTOS</t>
  </si>
  <si>
    <t>Margen Bruto</t>
  </si>
  <si>
    <t>SG&amp;A (ex impairments) / Ventas</t>
  </si>
  <si>
    <t>D&amp;A</t>
  </si>
  <si>
    <t>Gasto por Intereses</t>
  </si>
  <si>
    <t>Otro Gasto/(Ingreso)</t>
  </si>
  <si>
    <t>Tasa Impositiva Efectiva</t>
  </si>
  <si>
    <t>N/A</t>
  </si>
  <si>
    <t>Impairments (Goodwill + Intangibles)</t>
  </si>
  <si>
    <t>Capital de Trabajo</t>
  </si>
  <si>
    <t xml:space="preserve">  DSO (Días de Cobro)</t>
  </si>
  <si>
    <t>días</t>
  </si>
  <si>
    <t xml:space="preserve">  DIO (Días de Inventario)</t>
  </si>
  <si>
    <t xml:space="preserve">  DPO (Días de Pago)</t>
  </si>
  <si>
    <t>Cuentas por Cobrar (AR)</t>
  </si>
  <si>
    <t>Inventarios</t>
  </si>
  <si>
    <t>Cuentas por Pagar (AP)</t>
  </si>
  <si>
    <t>Inversiones (Capex &amp; PP&amp;E)</t>
  </si>
  <si>
    <t>Capex</t>
  </si>
  <si>
    <t>Capex / Ventas</t>
  </si>
  <si>
    <t>PP&amp;E Neto</t>
  </si>
  <si>
    <t>4. OTROS SUPUESTOS</t>
  </si>
  <si>
    <t>Deuda LP ($mm)</t>
  </si>
  <si>
    <t>Impuestos Diferidos ($mm)</t>
  </si>
  <si>
    <t>Dividendos Pagados ($mm)</t>
  </si>
  <si>
    <t>Acciones en Circulación (mm)</t>
  </si>
  <si>
    <t>2025E</t>
  </si>
  <si>
    <t>2026E</t>
  </si>
  <si>
    <t>2027E</t>
  </si>
  <si>
    <t>2028E</t>
  </si>
  <si>
    <t>2029E</t>
  </si>
  <si>
    <t>← Volver a Portada</t>
  </si>
  <si>
    <t xml:space="preserve"> SUPUESTOS DEL MODELO</t>
  </si>
  <si>
    <t>5. SUPUESTOS DE VALORACIÓN TERMINAL</t>
  </si>
  <si>
    <t>WACC</t>
  </si>
  <si>
    <t>Tasa de Crecimiento Terminal</t>
  </si>
  <si>
    <t>Múltiplo de Salida EV/EBITDA</t>
  </si>
  <si>
    <t>x</t>
  </si>
  <si>
    <t>Caja y Equivalentes</t>
  </si>
  <si>
    <t>Otros Activos No Corrientes</t>
  </si>
  <si>
    <t>Porción Corriente Deuda LP</t>
  </si>
  <si>
    <t>Otros Pasivos No Corrientes</t>
  </si>
  <si>
    <t>Patrimonio</t>
  </si>
  <si>
    <t>Otro Resultado Integral (AOCI)</t>
  </si>
  <si>
    <t>D&amp;A / PP&amp;E (inicio período)</t>
  </si>
  <si>
    <t>ESTADO DE RESULTADOS</t>
  </si>
  <si>
    <t>Costo de Ventas (COGS)</t>
  </si>
  <si>
    <t>Utilidad Bruta</t>
  </si>
  <si>
    <t>Depreciación y Amortización</t>
  </si>
  <si>
    <t>Utilidad Operativa (EBIT)</t>
  </si>
  <si>
    <t>Otro Gasto / (Ingreso)</t>
  </si>
  <si>
    <t>Utilidad antes de Impuestos (EBT)</t>
  </si>
  <si>
    <t>Impuesto a las Ganancias</t>
  </si>
  <si>
    <t>Utilidad Neta</t>
  </si>
  <si>
    <t>Gastos de Venta y Administración (ex deterioros)</t>
  </si>
  <si>
    <t>FLUJO DE CAJA</t>
  </si>
  <si>
    <t>Actividades Operativas</t>
  </si>
  <si>
    <t>(+) Depreciación y Amortización</t>
  </si>
  <si>
    <t>(+/-) Δ Impuestos Diferidos</t>
  </si>
  <si>
    <t>(+/-) Δ Cuentas por Cobrar</t>
  </si>
  <si>
    <t>(+/-) Δ Inventarios</t>
  </si>
  <si>
    <t>(+/-) Δ Cuentas por Pagar</t>
  </si>
  <si>
    <t>Flujo de Caja Operativo (CFO)</t>
  </si>
  <si>
    <t>Actividades de Inversión</t>
  </si>
  <si>
    <t>(-) Capex</t>
  </si>
  <si>
    <t>Flujo de Caja de Inversión (CFI)</t>
  </si>
  <si>
    <t>Actividades de Financiamiento</t>
  </si>
  <si>
    <t>(+/-) Δ Deuda LP</t>
  </si>
  <si>
    <t>(-) Dividendos Pagados</t>
  </si>
  <si>
    <t>Flujo de Caja de Financiamiento (CFF)</t>
  </si>
  <si>
    <t>Variación Neta de Caja</t>
  </si>
  <si>
    <t>Caja Inicio del Período</t>
  </si>
  <si>
    <t>Caja Fin del Período</t>
  </si>
  <si>
    <t>BALANCE GENERAL</t>
  </si>
  <si>
    <t>ACTIVOS</t>
  </si>
  <si>
    <t>Activos Corrientes</t>
  </si>
  <si>
    <t>Total Activos Corrientes</t>
  </si>
  <si>
    <t>Activos No Corrientes</t>
  </si>
  <si>
    <t>Propiedad, Planta y Equipo (PP&amp;E) Neto</t>
  </si>
  <si>
    <t>Crédito Mercantil e Intangibles</t>
  </si>
  <si>
    <t>Total Activos No Corrientes</t>
  </si>
  <si>
    <t>TOTAL ACTIVOS</t>
  </si>
  <si>
    <t>PASIVOS Y PATRIMONIO</t>
  </si>
  <si>
    <t>Pasivos Corrientes</t>
  </si>
  <si>
    <t>Total Pasivos Corrientes</t>
  </si>
  <si>
    <t>Pasivos No Corrientes</t>
  </si>
  <si>
    <t>Deuda de Largo Plazo</t>
  </si>
  <si>
    <t>Total Pasivos No Corrientes</t>
  </si>
  <si>
    <t>TOTAL PASIVOS</t>
  </si>
  <si>
    <t>Patrimonio Neto</t>
  </si>
  <si>
    <t>Utilidades Retenidas</t>
  </si>
  <si>
    <t>TOTAL PATRIMONIO NETO</t>
  </si>
  <si>
    <t>TOTAL PASIVOS Y PATRIMONIO</t>
  </si>
  <si>
    <t>Control de Balance</t>
  </si>
  <si>
    <t>Activos - (Pasivos + Patrimonio)</t>
  </si>
  <si>
    <t>Otros Activos Corrientes (incl. prepagos)</t>
  </si>
  <si>
    <t>Otros Pasivos Corrientes</t>
  </si>
  <si>
    <t>Impuestos Diferidos (Pasivo)</t>
  </si>
  <si>
    <t>Interés No Controlante (NCI)</t>
  </si>
  <si>
    <t>(+/-) Otras variaciones de capital de trabajo</t>
  </si>
  <si>
    <t>Unidad</t>
  </si>
  <si>
    <t>Ventas Netas</t>
  </si>
  <si>
    <t>EBITDA</t>
  </si>
  <si>
    <t>RESUMEN DE DATOS — KRAFT HEINZ (KHC)</t>
  </si>
  <si>
    <t>Métrica</t>
  </si>
  <si>
    <t>1. CRECIMIENTO Y RENTABILIDAD</t>
  </si>
  <si>
    <t>Crecimiento de Ventas</t>
  </si>
  <si>
    <t>Margen EBITDA</t>
  </si>
  <si>
    <t>Margen Neto</t>
  </si>
  <si>
    <t>2. GENERACIÓN DE CAJA</t>
  </si>
  <si>
    <t>Flujo de Caja Libre</t>
  </si>
  <si>
    <t>Tasa de Conversión de FCF</t>
  </si>
  <si>
    <t>3. EFICIENCIA Y SOLVENCIA</t>
  </si>
  <si>
    <t>ROIC</t>
  </si>
  <si>
    <t>Deuda Neta / EBITDA</t>
  </si>
  <si>
    <t>4. RETORNO AL ACCIONISTA</t>
  </si>
  <si>
    <t>$</t>
  </si>
  <si>
    <t>Dividendos Pagados</t>
  </si>
  <si>
    <t xml:space="preserve">MODELO FINANCIERO </t>
  </si>
  <si>
    <t xml:space="preserve">  Norteamérica</t>
  </si>
  <si>
    <t xml:space="preserve">  Mercados Desarrollados Internacionales</t>
  </si>
  <si>
    <t xml:space="preserve">  Mercados Emergentes</t>
  </si>
  <si>
    <t>3. DRIVERS DE BALANCE</t>
  </si>
  <si>
    <t>Capital Social</t>
  </si>
  <si>
    <t>Acciones en Tesorería</t>
  </si>
  <si>
    <t>UPA (Utilidad por Acción)</t>
  </si>
  <si>
    <t>5. ANÁLISIS DE RIESGO</t>
  </si>
  <si>
    <t>Cobertura de Intereses</t>
  </si>
  <si>
    <t>Cobertura de Dividendos</t>
  </si>
  <si>
    <t>Payout Ratio</t>
  </si>
  <si>
    <t>Deuda Total / Capital</t>
  </si>
  <si>
    <t>Deterioros (Crédito Mercantil e Intangibles)</t>
  </si>
  <si>
    <t>(+) Deterioros (no monetario)</t>
  </si>
  <si>
    <t>(-) Recompras de Acciones</t>
  </si>
  <si>
    <t>Cuadre Balance General:</t>
  </si>
  <si>
    <t>Cuadre Estado de Resultados:</t>
  </si>
  <si>
    <t>Cuadre Flujo de Caja:</t>
  </si>
  <si>
    <t>Ingresos por segmento, márgenes, drivers de balance, otros supuestos y parámetros de valuación terminal (WACC, g, múltiplo de salida)</t>
  </si>
  <si>
    <t>Estado de Resultados, Flujo de Caja y Balance General proyectados (2022–2029E) con control de cuadre</t>
  </si>
  <si>
    <t>KPIs: crecimiento y rentabilidad, generación de caja, eficiencia y solvencia, retorno al accionista, análisis de riesgo</t>
  </si>
  <si>
    <t>Tarjetas ejecutivas y gráficos clave: ventas, márgenes, FCF, apalancamiento y retorno al accionista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</si>
</sst>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164" formatCode="dd/mm/yyyy"/>
    <numFmt numFmtId="165" formatCode="0.0%"/>
    <numFmt numFmtId="166" formatCode="#,##0;\(#,##0\);&quot;-&quot;"/>
    <numFmt numFmtId="167" formatCode="0.0"/>
    <numFmt numFmtId="168" formatCode="0.0&quot;x&quot;"/>
    <numFmt numFmtId="169" formatCode="#,##0;\(#,##0\);\-"/>
    <numFmt numFmtId="170" formatCode="_-&quot;$&quot;* #,##0_-;_-&quot;$&quot;* \(#,##0\);_-&quot;$&quot;* &quot;-&quot;??_-;_-@_-"/>
    <numFmt numFmtId="171" formatCode="0.0%;\(0.0%\);&quot;-&quot;"/>
    <numFmt numFmtId="172" formatCode="0.0&quot;x&quot;;\(0.0&quot;x&quot;\);&quot;-&quot;"/>
    <numFmt numFmtId="173" formatCode="_-&quot;$&quot;* #,##0.00_-;_-&quot;$&quot;* \(#,##0.00\);_-&quot;$&quot;* &quot;-&quot;??_-;_-@_-"/>
    <numFmt numFmtId="174" formatCode="0.0&quot;x&quot;;\(0.0&quot;x&quot;\);\-"/>
    <numFmt numFmtId="175" formatCode="0.0%;\(0.0%\);\-"/>
  </numFmts>
  <fonts count="5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1B2A4A"/>
      <name val="Calibri"/>
    </font>
    <font>
      <sz val="10"/>
      <color rgb="FF2D2D2D"/>
      <name val="Calibri"/>
    </font>
    <font>
      <b/>
      <sz val="10"/>
      <color rgb="FF2D2D2D"/>
      <name val="Calibri"/>
    </font>
    <font>
      <sz val="9"/>
      <color rgb="FF9CA3AF"/>
      <name val="Calibri"/>
    </font>
    <font>
      <sz val="10"/>
      <color rgb="FF0000FF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000000"/>
      <name val="Calibri"/>
    </font>
    <font>
      <sz val="10"/>
      <color rgb="FF008000"/>
      <name val="Calibri"/>
    </font>
    <font>
      <i/>
      <sz val="10"/>
      <color rgb="FF008000"/>
      <name val="Calibri"/>
    </font>
    <font>
      <sz val="10"/>
      <color rgb="FF1B2A4A"/>
      <name val="Calibri"/>
    </font>
    <font>
      <b/>
      <sz val="10"/>
      <color rgb="FF1B2A4A"/>
      <name val="Calibri"/>
    </font>
    <font>
      <b/>
      <i/>
      <sz val="10"/>
      <color rgb="FF1B2A4A"/>
      <name val="Calibri"/>
    </font>
    <font>
      <sz val="9"/>
      <color rgb="FF6B7280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  <family val="2"/>
    </font>
    <font>
      <b/>
      <sz val="10"/>
      <color rgb="FF0000FF"/>
      <name val="Calibri"/>
    </font>
    <font>
      <sz val="11"/>
      <color theme="1"/>
      <name val="Aptos Narrow"/>
      <family val="2"/>
      <scheme val="minor"/>
    </font>
    <font>
      <i/>
      <sz val="13"/>
      <color rgb="FFC5A572"/>
      <name val="Calibri"/>
    </font>
    <font>
      <b/>
      <sz val="10"/>
      <color rgb="FF6B7280"/>
      <name val="Calibri"/>
    </font>
    <font>
      <u/>
      <sz val="11"/>
      <color rgb="FF0000FF"/>
      <name val="Calibri"/>
    </font>
    <font>
      <i/>
      <sz val="9"/>
      <color rgb="FF9CA3AF"/>
      <name val="Calibri"/>
    </font>
    <font>
      <b/>
      <sz val="14"/>
      <color rgb="FFC5A572"/>
      <name val="Calibri"/>
    </font>
    <font>
      <i/>
      <sz val="9"/>
      <color rgb="FF6B7280"/>
      <name val="Calibri"/>
    </font>
    <font>
      <b/>
      <sz val="10"/>
      <color rgb="FF008000"/>
      <name val="Calibri"/>
    </font>
    <font>
      <b/>
      <sz val="10"/>
      <color rgb="FFFF0000"/>
      <name val="Calibri"/>
    </font>
    <font>
      <i/>
      <sz val="8"/>
      <color rgb="FFC5A572"/>
      <name val="Calibri"/>
    </font>
    <font>
      <sz val="11"/>
      <color theme="1"/>
      <name val="Calibri"/>
    </font>
    <font>
      <b/>
      <sz val="13"/>
      <color rgb="FFFFFFFF"/>
      <name val="Calibri"/>
    </font>
    <font>
      <b/>
      <i/>
      <sz val="9"/>
      <color rgb="FF6B7280"/>
      <name val="Calibri"/>
    </font>
    <font>
      <b/>
      <sz val="11"/>
      <color rgb="FF000000"/>
      <name val="Calibri"/>
    </font>
    <font>
      <sz val="10"/>
      <color rgb="FF9CA3AF"/>
      <name val="Calibri"/>
    </font>
    <font>
      <b/>
      <i/>
      <sz val="9"/>
      <color rgb="FF9CA3AF"/>
      <name val="Calibri"/>
    </font>
    <font>
      <i/>
      <sz val="10"/>
      <color rgb="FF9CA3AF"/>
      <name val="Calibri"/>
    </font>
    <font>
      <sz val="10"/>
      <color rgb="FF6B7280"/>
      <name val="Calibri"/>
    </font>
    <font>
      <b/>
      <i/>
      <sz val="11"/>
      <color rgb="FF1B2A4A"/>
      <name val="Calibri"/>
    </font>
    <font>
      <b/>
      <sz val="11"/>
      <color rgb="FFFFFFFF"/>
      <name val="Calibri"/>
    </font>
    <font>
      <sz val="9"/>
      <color rgb="FF7F7F7F"/>
      <name val="Calibri"/>
    </font>
    <font>
      <sz val="11"/>
      <color rgb="FF008000"/>
      <name val="Calibri"/>
    </font>
    <font>
      <b/>
      <sz val="11"/>
      <color rgb="FF107C10"/>
      <name val="Calibri"/>
    </font>
    <font>
      <i/>
      <sz val="9"/>
      <color theme="1"/>
      <name val="Calibri"/>
      <family val="2"/>
    </font>
    <font>
      <sz val="9"/>
      <color theme="1"/>
      <name val="Calibri"/>
      <family val="2"/>
    </font>
    <font>
      <b/>
      <sz val="14"/>
      <color rgb="FFFFFFFF"/>
      <name val="Calibri"/>
    </font>
    <font>
      <sz val="10"/>
      <color rgb="FF0000FF"/>
      <name val="Calibri"/>
      <family val="2"/>
    </font>
    <font>
      <b/>
      <sz val="10"/>
      <color rgb="FF0000FF"/>
      <name val="Calibri"/>
      <family val="2"/>
    </font>
    <font>
      <sz val="10"/>
      <color rgb="FF008000"/>
      <name val="Calibri"/>
      <family val="2"/>
    </font>
    <font>
      <sz val="11"/>
      <color theme="9" tint="-0.249977111117893"/>
      <name val="Aptos Narrow"/>
      <family val="2"/>
      <scheme val="minor"/>
    </font>
    <font>
      <b/>
      <sz val="2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C5A572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40404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1B2A4A"/>
      </bottom>
      <diagonal/>
    </border>
    <border>
      <left/>
      <right/>
      <top/>
      <bottom style="dotted">
        <color rgb="FFD1D5DB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9CA3AF"/>
      </top>
      <bottom/>
      <diagonal/>
    </border>
    <border>
      <left/>
      <right/>
      <top style="thin">
        <color rgb="FF1B2A4A"/>
      </top>
      <bottom/>
      <diagonal/>
    </border>
    <border>
      <left/>
      <right/>
      <top style="thin">
        <color rgb="FF1B2A4A"/>
      </top>
      <bottom style="thin">
        <color rgb="FF1B2A4A"/>
      </bottom>
      <diagonal/>
    </border>
    <border>
      <left/>
      <right/>
      <top style="medium">
        <color rgb="FF1B2A4A"/>
      </top>
      <bottom/>
      <diagonal/>
    </border>
    <border>
      <left/>
      <right/>
      <top style="medium">
        <color rgb="FF1B2A4A"/>
      </top>
      <bottom style="thin">
        <color rgb="FF1B2A4A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23" fillId="0" borderId="0" applyFont="0" applyFill="0" applyBorder="0" applyAlignment="0" applyProtection="0"/>
  </cellStyleXfs>
  <cellXfs count="140">
    <xf numFmtId="0" fontId="0" fillId="0" borderId="0" xfId="0"/>
    <xf numFmtId="0" fontId="4" fillId="2" borderId="1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7" fillId="0" borderId="0" xfId="0" applyFont="1" applyAlignment="1">
      <alignment horizontal="center"/>
    </xf>
    <xf numFmtId="0" fontId="5" fillId="2" borderId="0" xfId="0" applyFont="1" applyFill="1"/>
    <xf numFmtId="0" fontId="7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left"/>
    </xf>
    <xf numFmtId="3" fontId="8" fillId="2" borderId="0" xfId="0" applyNumberFormat="1" applyFont="1" applyFill="1" applyAlignment="1">
      <alignment horizontal="center"/>
    </xf>
    <xf numFmtId="3" fontId="11" fillId="2" borderId="0" xfId="0" applyNumberFormat="1" applyFont="1" applyFill="1" applyAlignment="1">
      <alignment horizontal="center"/>
    </xf>
    <xf numFmtId="0" fontId="16" fillId="2" borderId="0" xfId="0" applyFont="1" applyFill="1"/>
    <xf numFmtId="166" fontId="8" fillId="2" borderId="0" xfId="0" applyNumberFormat="1" applyFont="1" applyFill="1" applyAlignment="1">
      <alignment horizontal="center"/>
    </xf>
    <xf numFmtId="166" fontId="11" fillId="2" borderId="0" xfId="0" applyNumberFormat="1" applyFont="1" applyFill="1" applyAlignment="1">
      <alignment horizontal="center"/>
    </xf>
    <xf numFmtId="0" fontId="5" fillId="2" borderId="2" xfId="0" applyFont="1" applyFill="1" applyBorder="1"/>
    <xf numFmtId="0" fontId="7" fillId="0" borderId="2" xfId="0" applyFont="1" applyBorder="1" applyAlignment="1">
      <alignment horizontal="center"/>
    </xf>
    <xf numFmtId="166" fontId="8" fillId="2" borderId="2" xfId="0" applyNumberFormat="1" applyFont="1" applyFill="1" applyBorder="1" applyAlignment="1">
      <alignment horizontal="center"/>
    </xf>
    <xf numFmtId="166" fontId="11" fillId="2" borderId="2" xfId="0" applyNumberFormat="1" applyFont="1" applyFill="1" applyBorder="1" applyAlignment="1">
      <alignment horizontal="center"/>
    </xf>
    <xf numFmtId="0" fontId="17" fillId="2" borderId="0" xfId="0" applyFont="1" applyFill="1"/>
    <xf numFmtId="165" fontId="11" fillId="2" borderId="0" xfId="0" applyNumberFormat="1" applyFont="1" applyFill="1" applyAlignment="1">
      <alignment horizontal="center"/>
    </xf>
    <xf numFmtId="3" fontId="8" fillId="0" borderId="0" xfId="0" applyNumberFormat="1" applyFont="1" applyAlignment="1">
      <alignment horizontal="center"/>
    </xf>
    <xf numFmtId="0" fontId="4" fillId="0" borderId="1" xfId="0" applyFont="1" applyBorder="1"/>
    <xf numFmtId="0" fontId="17" fillId="0" borderId="1" xfId="0" applyFont="1" applyBorder="1" applyAlignment="1">
      <alignment horizontal="center"/>
    </xf>
    <xf numFmtId="0" fontId="18" fillId="0" borderId="0" xfId="0" applyFont="1"/>
    <xf numFmtId="0" fontId="19" fillId="0" borderId="0" xfId="0" applyFont="1"/>
    <xf numFmtId="0" fontId="19" fillId="0" borderId="11" xfId="0" applyFont="1" applyBorder="1"/>
    <xf numFmtId="0" fontId="14" fillId="0" borderId="0" xfId="0" applyFont="1"/>
    <xf numFmtId="0" fontId="4" fillId="0" borderId="13" xfId="0" applyFont="1" applyBorder="1"/>
    <xf numFmtId="0" fontId="15" fillId="0" borderId="0" xfId="0" applyFont="1"/>
    <xf numFmtId="0" fontId="16" fillId="0" borderId="0" xfId="0" applyFont="1"/>
    <xf numFmtId="0" fontId="15" fillId="0" borderId="12" xfId="0" applyFont="1" applyBorder="1"/>
    <xf numFmtId="0" fontId="15" fillId="0" borderId="13" xfId="0" applyFont="1" applyBorder="1"/>
    <xf numFmtId="169" fontId="0" fillId="0" borderId="0" xfId="0" applyNumberFormat="1"/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4" borderId="6" xfId="0" applyFont="1" applyFill="1" applyBorder="1"/>
    <xf numFmtId="0" fontId="5" fillId="4" borderId="7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1" xfId="0" applyFont="1" applyFill="1" applyBorder="1"/>
    <xf numFmtId="0" fontId="26" fillId="2" borderId="0" xfId="1" applyFont="1" applyFill="1" applyBorder="1" applyAlignment="1">
      <alignment horizontal="left"/>
    </xf>
    <xf numFmtId="0" fontId="5" fillId="5" borderId="6" xfId="0" applyFont="1" applyFill="1" applyBorder="1"/>
    <xf numFmtId="0" fontId="5" fillId="5" borderId="7" xfId="0" applyFont="1" applyFill="1" applyBorder="1"/>
    <xf numFmtId="0" fontId="28" fillId="2" borderId="6" xfId="0" applyFont="1" applyFill="1" applyBorder="1" applyAlignment="1">
      <alignment horizontal="center"/>
    </xf>
    <xf numFmtId="0" fontId="20" fillId="2" borderId="0" xfId="0" applyFont="1" applyFill="1"/>
    <xf numFmtId="0" fontId="5" fillId="3" borderId="8" xfId="0" applyFont="1" applyFill="1" applyBorder="1" applyAlignment="1">
      <alignment vertical="center"/>
    </xf>
    <xf numFmtId="0" fontId="32" fillId="3" borderId="9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33" fillId="0" borderId="0" xfId="0" applyFont="1"/>
    <xf numFmtId="0" fontId="11" fillId="2" borderId="0" xfId="0" applyFont="1" applyFill="1"/>
    <xf numFmtId="0" fontId="34" fillId="3" borderId="0" xfId="0" applyFont="1" applyFill="1" applyAlignment="1">
      <alignment horizontal="left"/>
    </xf>
    <xf numFmtId="0" fontId="4" fillId="2" borderId="0" xfId="0" applyFont="1" applyFill="1"/>
    <xf numFmtId="0" fontId="35" fillId="2" borderId="0" xfId="0" applyFont="1" applyFill="1"/>
    <xf numFmtId="0" fontId="29" fillId="2" borderId="0" xfId="0" applyFont="1" applyFill="1"/>
    <xf numFmtId="0" fontId="36" fillId="2" borderId="0" xfId="0" applyFont="1" applyFill="1"/>
    <xf numFmtId="3" fontId="20" fillId="2" borderId="0" xfId="0" applyNumberFormat="1" applyFont="1" applyFill="1" applyAlignment="1">
      <alignment horizontal="center"/>
    </xf>
    <xf numFmtId="165" fontId="20" fillId="2" borderId="0" xfId="0" applyNumberFormat="1" applyFont="1" applyFill="1" applyAlignment="1">
      <alignment horizontal="center"/>
    </xf>
    <xf numFmtId="0" fontId="37" fillId="2" borderId="0" xfId="0" applyFont="1" applyFill="1" applyAlignment="1">
      <alignment horizontal="center"/>
    </xf>
    <xf numFmtId="0" fontId="11" fillId="2" borderId="1" xfId="0" applyFont="1" applyFill="1" applyBorder="1"/>
    <xf numFmtId="0" fontId="11" fillId="5" borderId="0" xfId="0" applyFont="1" applyFill="1"/>
    <xf numFmtId="3" fontId="11" fillId="0" borderId="0" xfId="0" applyNumberFormat="1" applyFont="1" applyAlignment="1">
      <alignment horizontal="center"/>
    </xf>
    <xf numFmtId="0" fontId="5" fillId="0" borderId="0" xfId="0" applyFont="1"/>
    <xf numFmtId="167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169" fontId="13" fillId="2" borderId="0" xfId="0" applyNumberFormat="1" applyFont="1" applyFill="1" applyAlignment="1">
      <alignment horizontal="center"/>
    </xf>
    <xf numFmtId="0" fontId="4" fillId="0" borderId="1" xfId="0" applyFont="1" applyBorder="1" applyAlignment="1">
      <alignment horizontal="left"/>
    </xf>
    <xf numFmtId="0" fontId="33" fillId="0" borderId="1" xfId="0" applyFont="1" applyBorder="1"/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left"/>
    </xf>
    <xf numFmtId="0" fontId="11" fillId="2" borderId="2" xfId="0" applyFont="1" applyFill="1" applyBorder="1"/>
    <xf numFmtId="3" fontId="8" fillId="2" borderId="2" xfId="0" applyNumberFormat="1" applyFont="1" applyFill="1" applyBorder="1" applyAlignment="1">
      <alignment horizontal="center"/>
    </xf>
    <xf numFmtId="0" fontId="40" fillId="0" borderId="0" xfId="0" applyFont="1"/>
    <xf numFmtId="0" fontId="19" fillId="0" borderId="12" xfId="0" applyFont="1" applyBorder="1"/>
    <xf numFmtId="0" fontId="15" fillId="0" borderId="15" xfId="0" applyFont="1" applyBorder="1"/>
    <xf numFmtId="0" fontId="15" fillId="0" borderId="14" xfId="0" applyFont="1" applyBorder="1"/>
    <xf numFmtId="0" fontId="41" fillId="0" borderId="1" xfId="0" applyFont="1" applyBorder="1"/>
    <xf numFmtId="0" fontId="42" fillId="6" borderId="0" xfId="0" applyFont="1" applyFill="1"/>
    <xf numFmtId="0" fontId="33" fillId="6" borderId="0" xfId="0" applyFont="1" applyFill="1"/>
    <xf numFmtId="0" fontId="43" fillId="0" borderId="0" xfId="0" applyFont="1" applyAlignment="1">
      <alignment horizontal="center"/>
    </xf>
    <xf numFmtId="170" fontId="12" fillId="0" borderId="0" xfId="0" applyNumberFormat="1" applyFont="1" applyAlignment="1">
      <alignment horizontal="center"/>
    </xf>
    <xf numFmtId="170" fontId="11" fillId="0" borderId="0" xfId="0" applyNumberFormat="1" applyFont="1" applyAlignment="1">
      <alignment horizontal="center"/>
    </xf>
    <xf numFmtId="170" fontId="20" fillId="0" borderId="11" xfId="0" applyNumberFormat="1" applyFont="1" applyBorder="1" applyAlignment="1">
      <alignment horizontal="center"/>
    </xf>
    <xf numFmtId="170" fontId="27" fillId="0" borderId="0" xfId="0" applyNumberFormat="1" applyFont="1" applyAlignment="1">
      <alignment horizontal="center"/>
    </xf>
    <xf numFmtId="170" fontId="38" fillId="0" borderId="12" xfId="0" applyNumberFormat="1" applyFont="1" applyBorder="1" applyAlignment="1">
      <alignment horizontal="center"/>
    </xf>
    <xf numFmtId="170" fontId="20" fillId="0" borderId="12" xfId="0" applyNumberFormat="1" applyFont="1" applyBorder="1" applyAlignment="1">
      <alignment horizontal="center"/>
    </xf>
    <xf numFmtId="170" fontId="39" fillId="0" borderId="0" xfId="0" applyNumberFormat="1" applyFont="1" applyAlignment="1">
      <alignment horizontal="center"/>
    </xf>
    <xf numFmtId="170" fontId="38" fillId="0" borderId="0" xfId="0" applyNumberFormat="1" applyFont="1" applyAlignment="1">
      <alignment horizontal="center"/>
    </xf>
    <xf numFmtId="170" fontId="20" fillId="0" borderId="0" xfId="0" applyNumberFormat="1" applyFont="1" applyAlignment="1">
      <alignment horizontal="center"/>
    </xf>
    <xf numFmtId="170" fontId="38" fillId="0" borderId="13" xfId="0" applyNumberFormat="1" applyFont="1" applyBorder="1" applyAlignment="1">
      <alignment horizontal="center"/>
    </xf>
    <xf numFmtId="170" fontId="20" fillId="0" borderId="13" xfId="0" applyNumberFormat="1" applyFont="1" applyBorder="1" applyAlignment="1">
      <alignment horizontal="center"/>
    </xf>
    <xf numFmtId="170" fontId="33" fillId="0" borderId="0" xfId="0" applyNumberFormat="1" applyFont="1"/>
    <xf numFmtId="0" fontId="33" fillId="0" borderId="0" xfId="0" applyFont="1" applyAlignment="1">
      <alignment horizontal="center" vertical="center"/>
    </xf>
    <xf numFmtId="0" fontId="33" fillId="6" borderId="0" xfId="0" applyFont="1" applyFill="1" applyAlignment="1">
      <alignment horizontal="center" vertical="center"/>
    </xf>
    <xf numFmtId="170" fontId="44" fillId="0" borderId="0" xfId="0" applyNumberFormat="1" applyFont="1" applyAlignment="1">
      <alignment horizontal="right" vertical="center"/>
    </xf>
    <xf numFmtId="171" fontId="44" fillId="0" borderId="0" xfId="0" applyNumberFormat="1" applyFont="1" applyAlignment="1">
      <alignment horizontal="right" vertical="center"/>
    </xf>
    <xf numFmtId="170" fontId="36" fillId="0" borderId="13" xfId="0" applyNumberFormat="1" applyFont="1" applyBorder="1" applyAlignment="1">
      <alignment horizontal="center"/>
    </xf>
    <xf numFmtId="170" fontId="20" fillId="0" borderId="15" xfId="0" applyNumberFormat="1" applyFont="1" applyBorder="1" applyAlignment="1">
      <alignment horizontal="center"/>
    </xf>
    <xf numFmtId="170" fontId="20" fillId="0" borderId="14" xfId="0" applyNumberFormat="1" applyFont="1" applyBorder="1" applyAlignment="1">
      <alignment horizontal="center"/>
    </xf>
    <xf numFmtId="0" fontId="24" fillId="3" borderId="0" xfId="0" applyFont="1" applyFill="1" applyAlignment="1">
      <alignment horizontal="left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/>
    <xf numFmtId="0" fontId="0" fillId="0" borderId="7" xfId="0" applyBorder="1"/>
    <xf numFmtId="0" fontId="25" fillId="2" borderId="0" xfId="0" applyFont="1" applyFill="1" applyAlignment="1">
      <alignment horizontal="right"/>
    </xf>
    <xf numFmtId="0" fontId="8" fillId="2" borderId="0" xfId="0" applyFont="1" applyFill="1" applyAlignment="1">
      <alignment horizontal="left"/>
    </xf>
    <xf numFmtId="164" fontId="11" fillId="2" borderId="0" xfId="0" applyNumberFormat="1" applyFont="1" applyFill="1" applyAlignment="1">
      <alignment horizontal="left"/>
    </xf>
    <xf numFmtId="0" fontId="5" fillId="5" borderId="0" xfId="0" applyFont="1" applyFill="1"/>
    <xf numFmtId="0" fontId="27" fillId="2" borderId="0" xfId="0" applyFont="1" applyFill="1"/>
    <xf numFmtId="0" fontId="22" fillId="2" borderId="0" xfId="0" applyFont="1" applyFill="1"/>
    <xf numFmtId="0" fontId="30" fillId="2" borderId="0" xfId="0" applyFont="1" applyFill="1"/>
    <xf numFmtId="0" fontId="31" fillId="2" borderId="0" xfId="0" applyFont="1" applyFill="1"/>
    <xf numFmtId="0" fontId="45" fillId="2" borderId="0" xfId="0" applyFont="1" applyFill="1" applyAlignment="1">
      <alignment horizontal="left"/>
    </xf>
    <xf numFmtId="0" fontId="1" fillId="2" borderId="2" xfId="1" applyFill="1" applyBorder="1" applyAlignment="1">
      <alignment horizontal="left"/>
    </xf>
    <xf numFmtId="0" fontId="46" fillId="2" borderId="2" xfId="0" applyFont="1" applyFill="1" applyBorder="1" applyAlignment="1">
      <alignment horizontal="left"/>
    </xf>
    <xf numFmtId="0" fontId="46" fillId="2" borderId="2" xfId="0" applyFont="1" applyFill="1" applyBorder="1"/>
    <xf numFmtId="0" fontId="21" fillId="2" borderId="7" xfId="0" applyFont="1" applyFill="1" applyBorder="1"/>
    <xf numFmtId="0" fontId="21" fillId="2" borderId="0" xfId="0" applyFont="1" applyFill="1"/>
    <xf numFmtId="0" fontId="47" fillId="2" borderId="2" xfId="0" applyFont="1" applyFill="1" applyBorder="1" applyAlignment="1">
      <alignment horizontal="left"/>
    </xf>
    <xf numFmtId="0" fontId="48" fillId="3" borderId="0" xfId="0" applyFont="1" applyFill="1" applyAlignment="1">
      <alignment horizontal="center"/>
    </xf>
    <xf numFmtId="1" fontId="28" fillId="3" borderId="0" xfId="0" applyNumberFormat="1" applyFont="1" applyFill="1" applyAlignment="1">
      <alignment horizontal="center"/>
    </xf>
    <xf numFmtId="170" fontId="49" fillId="0" borderId="0" xfId="0" applyNumberFormat="1" applyFont="1" applyAlignment="1">
      <alignment horizontal="center"/>
    </xf>
    <xf numFmtId="170" fontId="50" fillId="0" borderId="0" xfId="0" applyNumberFormat="1" applyFont="1" applyAlignment="1">
      <alignment horizontal="center"/>
    </xf>
    <xf numFmtId="170" fontId="50" fillId="0" borderId="13" xfId="0" applyNumberFormat="1" applyFont="1" applyBorder="1" applyAlignment="1">
      <alignment horizontal="center"/>
    </xf>
    <xf numFmtId="170" fontId="44" fillId="0" borderId="0" xfId="2" applyNumberFormat="1" applyFont="1" applyAlignment="1">
      <alignment horizontal="right" vertical="center"/>
    </xf>
    <xf numFmtId="171" fontId="44" fillId="0" borderId="0" xfId="2" applyNumberFormat="1" applyFont="1" applyAlignment="1">
      <alignment horizontal="right" vertical="center"/>
    </xf>
    <xf numFmtId="172" fontId="44" fillId="0" borderId="0" xfId="0" applyNumberFormat="1" applyFont="1" applyAlignment="1">
      <alignment horizontal="right" vertical="center"/>
    </xf>
    <xf numFmtId="173" fontId="44" fillId="0" borderId="0" xfId="0" applyNumberFormat="1" applyFont="1" applyAlignment="1">
      <alignment horizontal="right" vertical="center"/>
    </xf>
    <xf numFmtId="2" fontId="51" fillId="2" borderId="0" xfId="0" applyNumberFormat="1" applyFont="1" applyFill="1" applyAlignment="1">
      <alignment horizontal="center"/>
    </xf>
    <xf numFmtId="165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horizontal="center"/>
    </xf>
    <xf numFmtId="3" fontId="8" fillId="0" borderId="2" xfId="0" applyNumberFormat="1" applyFont="1" applyBorder="1" applyAlignment="1">
      <alignment horizontal="center"/>
    </xf>
    <xf numFmtId="168" fontId="8" fillId="0" borderId="2" xfId="0" applyNumberFormat="1" applyFont="1" applyBorder="1" applyAlignment="1">
      <alignment horizontal="center"/>
    </xf>
    <xf numFmtId="0" fontId="42" fillId="0" borderId="0" xfId="0" applyFont="1"/>
    <xf numFmtId="174" fontId="52" fillId="0" borderId="0" xfId="0" applyNumberFormat="1" applyFont="1" applyAlignment="1">
      <alignment horizontal="right"/>
    </xf>
    <xf numFmtId="175" fontId="52" fillId="0" borderId="0" xfId="0" applyNumberFormat="1" applyFont="1" applyAlignment="1">
      <alignment horizontal="right"/>
    </xf>
    <xf numFmtId="171" fontId="0" fillId="0" borderId="0" xfId="0" applyNumberFormat="1"/>
    <xf numFmtId="0" fontId="53" fillId="3" borderId="4" xfId="0" applyFont="1" applyFill="1" applyBorder="1" applyAlignment="1">
      <alignment horizontal="left" vertical="center"/>
    </xf>
    <xf numFmtId="0" fontId="34" fillId="3" borderId="0" xfId="0" applyFont="1" applyFill="1" applyAlignment="1">
      <alignment horizontal="left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colors>
    <mruColors>
      <color rgb="FFEDEC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F459E0D-4E9B-4D2E-8580-04DE6A9AABC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71edf74-b56f-4f50-919a-92261c8ac21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sec.gov/Archives/edgar/data/0001637459/000163745925000011/khc-20241228.ht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C848-7244-40A8-A20E-1B1B6E066BF6}">
  <sheetPr>
    <tabColor rgb="FF1B2A4A"/>
  </sheetPr>
  <dimension ref="A1:G48"/>
  <sheetViews>
    <sheetView showGridLines="0" zoomScale="64" zoomScaleNormal="64" workbookViewId="0">
      <selection activeCell="E27" sqref="E27"/>
    </sheetView>
  </sheetViews>
  <sheetFormatPr baseColWidth="10" defaultRowHeight="14.5"/>
  <cols>
    <col min="1" max="1" width="5.7265625" customWidth="1"/>
    <col min="2" max="2" width="6.7265625" customWidth="1"/>
    <col min="3" max="3" width="41.81640625" customWidth="1"/>
    <col min="4" max="4" width="51.453125" bestFit="1" customWidth="1"/>
    <col min="5" max="5" width="28.54296875" customWidth="1"/>
    <col min="6" max="6" width="40" customWidth="1"/>
    <col min="7" max="7" width="14.54296875" customWidth="1"/>
  </cols>
  <sheetData>
    <row r="1" spans="1:7" ht="15" customHeight="1" thickBot="1">
      <c r="A1" s="4"/>
      <c r="B1" s="4"/>
      <c r="C1" s="4"/>
      <c r="D1" s="4"/>
      <c r="E1" s="4"/>
      <c r="F1" s="4"/>
      <c r="G1" s="4"/>
    </row>
    <row r="2" spans="1:7" ht="40" customHeight="1">
      <c r="A2" s="4"/>
      <c r="B2" s="31"/>
      <c r="C2" s="138" t="s">
        <v>0</v>
      </c>
      <c r="D2" s="32"/>
      <c r="E2" s="32"/>
      <c r="F2" s="33"/>
      <c r="G2" s="4"/>
    </row>
    <row r="3" spans="1:7" ht="25" customHeight="1">
      <c r="A3" s="4"/>
      <c r="B3" s="34"/>
      <c r="C3" s="100" t="s">
        <v>1</v>
      </c>
      <c r="D3" s="101"/>
      <c r="E3" s="101"/>
      <c r="F3" s="35"/>
      <c r="G3" s="4"/>
    </row>
    <row r="4" spans="1:7" ht="4" customHeight="1">
      <c r="A4" s="4"/>
      <c r="B4" s="36"/>
      <c r="C4" s="102"/>
      <c r="D4" s="102"/>
      <c r="E4" s="102"/>
      <c r="F4" s="37"/>
      <c r="G4" s="4"/>
    </row>
    <row r="5" spans="1:7" ht="12" customHeight="1">
      <c r="A5" s="4"/>
      <c r="B5" s="38"/>
      <c r="C5" s="4"/>
      <c r="D5" s="4"/>
      <c r="E5" s="4"/>
      <c r="F5" s="39"/>
      <c r="G5" s="4"/>
    </row>
    <row r="6" spans="1:7">
      <c r="A6" s="4"/>
      <c r="B6" s="38"/>
      <c r="C6" s="1" t="s">
        <v>2</v>
      </c>
      <c r="D6" s="40"/>
      <c r="E6" s="4"/>
      <c r="F6" s="39"/>
      <c r="G6" s="4"/>
    </row>
    <row r="7" spans="1:7" ht="24" customHeight="1">
      <c r="A7" s="4"/>
      <c r="B7" s="38"/>
      <c r="C7" s="4"/>
      <c r="D7" s="4"/>
      <c r="E7" s="4"/>
      <c r="F7" s="103"/>
    </row>
    <row r="8" spans="1:7">
      <c r="A8" s="4"/>
      <c r="B8" s="38"/>
      <c r="C8" s="104" t="s">
        <v>3</v>
      </c>
      <c r="D8" s="105" t="s">
        <v>25</v>
      </c>
      <c r="E8" s="4"/>
      <c r="F8" s="39"/>
      <c r="G8" s="4"/>
    </row>
    <row r="9" spans="1:7" ht="38.15" customHeight="1">
      <c r="A9" s="4"/>
      <c r="B9" s="38"/>
      <c r="C9" s="104" t="s">
        <v>4</v>
      </c>
      <c r="D9" s="106">
        <v>46143</v>
      </c>
      <c r="F9" s="103"/>
    </row>
    <row r="10" spans="1:7">
      <c r="A10" s="4"/>
      <c r="B10" s="38"/>
      <c r="C10" s="104" t="s">
        <v>5</v>
      </c>
      <c r="D10" s="106">
        <v>46160</v>
      </c>
      <c r="E10" s="4"/>
      <c r="F10" s="39"/>
      <c r="G10" s="4"/>
    </row>
    <row r="11" spans="1:7">
      <c r="A11" s="4"/>
      <c r="B11" s="38"/>
      <c r="C11" s="104" t="s">
        <v>6</v>
      </c>
      <c r="D11" s="41" t="s">
        <v>7</v>
      </c>
      <c r="E11" s="4"/>
      <c r="F11" s="39"/>
      <c r="G11" s="4"/>
    </row>
    <row r="12" spans="1:7" ht="38.15" customHeight="1">
      <c r="A12" s="4"/>
      <c r="B12" s="38"/>
      <c r="C12" s="104" t="s">
        <v>8</v>
      </c>
      <c r="D12" s="105" t="s">
        <v>9</v>
      </c>
      <c r="E12" s="4"/>
      <c r="F12" s="103"/>
    </row>
    <row r="13" spans="1:7">
      <c r="A13" s="4"/>
      <c r="B13" s="38"/>
      <c r="C13" s="104" t="s">
        <v>10</v>
      </c>
      <c r="D13" s="105" t="s">
        <v>11</v>
      </c>
      <c r="E13" s="4"/>
      <c r="F13" s="39"/>
      <c r="G13" s="4"/>
    </row>
    <row r="14" spans="1:7">
      <c r="A14" s="4"/>
      <c r="B14" s="38"/>
      <c r="C14" s="104" t="s">
        <v>12</v>
      </c>
      <c r="D14" s="105" t="s">
        <v>13</v>
      </c>
      <c r="E14" s="4"/>
      <c r="F14" s="39"/>
      <c r="G14" s="4"/>
    </row>
    <row r="15" spans="1:7" ht="6" customHeight="1">
      <c r="A15" s="4"/>
      <c r="B15" s="38"/>
      <c r="C15" s="4"/>
      <c r="D15" s="4"/>
      <c r="E15" s="4"/>
      <c r="F15" s="39"/>
      <c r="G15" s="4"/>
    </row>
    <row r="16" spans="1:7">
      <c r="A16" s="4"/>
      <c r="B16" s="38"/>
      <c r="C16" s="1" t="s">
        <v>14</v>
      </c>
      <c r="D16" s="40"/>
      <c r="E16" s="4"/>
      <c r="F16" s="39"/>
      <c r="G16" s="4"/>
    </row>
    <row r="17" spans="1:7" ht="38.15" customHeight="1">
      <c r="A17" s="4"/>
      <c r="B17" s="38"/>
      <c r="C17" s="4"/>
      <c r="D17" s="4"/>
      <c r="E17" s="4"/>
      <c r="F17" s="103"/>
    </row>
    <row r="18" spans="1:7">
      <c r="A18" s="4"/>
      <c r="B18" s="38"/>
      <c r="C18" s="104" t="s">
        <v>170</v>
      </c>
      <c r="D18" s="112" t="str" cm="1">
        <f t="array" ref="D18">IF(MAX(ABS(Modelo!G91:K91))&lt;10,"✔ OK","⚠ Revisar (max "&amp;TEXT(MAX(ABS(Modelo!G91:K91)),"$#,##0")&amp;")")</f>
        <v>✔ OK</v>
      </c>
      <c r="E18" s="108"/>
      <c r="F18" s="39"/>
      <c r="G18" s="4"/>
    </row>
    <row r="19" spans="1:7">
      <c r="A19" s="4"/>
      <c r="B19" s="38"/>
      <c r="C19" s="104" t="s">
        <v>171</v>
      </c>
      <c r="D19" s="112" t="str">
        <f>IF(AND(Modelo!F17&lt;&gt;"",Modelo!F22=Modelo!F17),"✔ OK","⚠ Revisar")</f>
        <v>✔ OK</v>
      </c>
      <c r="E19" s="108"/>
      <c r="F19" s="39"/>
      <c r="G19" s="4"/>
    </row>
    <row r="20" spans="1:7">
      <c r="A20" s="4"/>
      <c r="B20" s="38"/>
      <c r="C20" s="104" t="s">
        <v>172</v>
      </c>
      <c r="D20" s="112" t="str">
        <f>IF(ROUND(Modelo!K44,0)=ROUND(Modelo!K51,0),"✔ OK","⚠ Revisar ("&amp;TEXT(Modelo!K44-Modelo!K51,"$#,##0")&amp;")")</f>
        <v>✔ OK</v>
      </c>
      <c r="E20" s="108"/>
      <c r="F20" s="39"/>
      <c r="G20" s="4"/>
    </row>
    <row r="21" spans="1:7" ht="12" customHeight="1">
      <c r="A21" s="4"/>
      <c r="B21" s="38"/>
      <c r="C21" s="4"/>
      <c r="D21" s="4"/>
      <c r="E21" s="4"/>
      <c r="F21" s="39"/>
      <c r="G21" s="4"/>
    </row>
    <row r="22" spans="1:7" ht="3" customHeight="1">
      <c r="A22" s="4"/>
      <c r="B22" s="42"/>
      <c r="C22" s="107"/>
      <c r="D22" s="107"/>
      <c r="E22" s="107"/>
      <c r="F22" s="43"/>
      <c r="G22" s="4"/>
    </row>
    <row r="23" spans="1:7" ht="6" customHeight="1">
      <c r="A23" s="4"/>
      <c r="B23" s="38"/>
      <c r="C23" s="4"/>
      <c r="D23" s="4"/>
      <c r="E23" s="4"/>
      <c r="F23" s="39"/>
      <c r="G23" s="4"/>
    </row>
    <row r="24" spans="1:7">
      <c r="A24" s="4"/>
      <c r="B24" s="38"/>
      <c r="C24" s="1" t="s">
        <v>15</v>
      </c>
      <c r="D24" s="40"/>
      <c r="E24" s="4"/>
      <c r="F24" s="39"/>
      <c r="G24" s="4"/>
    </row>
    <row r="25" spans="1:7" ht="6" customHeight="1">
      <c r="A25" s="4"/>
      <c r="B25" s="38"/>
      <c r="C25" s="4"/>
      <c r="D25" s="4"/>
      <c r="E25" s="4"/>
      <c r="F25" s="39"/>
      <c r="G25" s="4"/>
    </row>
    <row r="26" spans="1:7" ht="18.5">
      <c r="A26" s="4"/>
      <c r="B26" s="44">
        <v>1</v>
      </c>
      <c r="C26" s="113" t="str">
        <f>HYPERLINK("#'Supuestos'!A1","Supuestos")</f>
        <v>Supuestos</v>
      </c>
      <c r="D26" s="114" t="s">
        <v>173</v>
      </c>
      <c r="E26" s="115"/>
      <c r="F26" s="116"/>
      <c r="G26" s="4"/>
    </row>
    <row r="27" spans="1:7" ht="8.15" customHeight="1">
      <c r="A27" s="4"/>
      <c r="B27" s="38"/>
      <c r="C27" s="4"/>
      <c r="D27" s="117"/>
      <c r="E27" s="117"/>
      <c r="F27" s="116"/>
      <c r="G27" s="4"/>
    </row>
    <row r="28" spans="1:7" ht="18.5">
      <c r="A28" s="4"/>
      <c r="B28" s="44">
        <v>2</v>
      </c>
      <c r="C28" s="113" t="str">
        <f>HYPERLINK("#'Modelo'!A1","Modelo")</f>
        <v>Modelo</v>
      </c>
      <c r="D28" s="114" t="s">
        <v>174</v>
      </c>
      <c r="E28" s="115"/>
      <c r="F28" s="116"/>
      <c r="G28" s="4"/>
    </row>
    <row r="29" spans="1:7" ht="8.15" customHeight="1">
      <c r="A29" s="4"/>
      <c r="B29" s="38"/>
      <c r="C29" s="4"/>
      <c r="D29" s="117"/>
      <c r="E29" s="117"/>
      <c r="F29" s="116"/>
      <c r="G29" s="4"/>
    </row>
    <row r="30" spans="1:7" ht="18.5">
      <c r="A30" s="4"/>
      <c r="B30" s="44">
        <v>3</v>
      </c>
      <c r="C30" s="113" t="str">
        <f>HYPERLINK("#'Insights'!A1","Insights")</f>
        <v>Insights</v>
      </c>
      <c r="D30" s="114" t="s">
        <v>175</v>
      </c>
      <c r="E30" s="115"/>
      <c r="F30" s="116"/>
      <c r="G30" s="4"/>
    </row>
    <row r="31" spans="1:7" ht="8.15" customHeight="1">
      <c r="A31" s="4"/>
      <c r="B31" s="38"/>
      <c r="C31" s="4"/>
      <c r="D31" s="117"/>
      <c r="E31" s="117"/>
      <c r="F31" s="116"/>
      <c r="G31" s="4"/>
    </row>
    <row r="32" spans="1:7" ht="18.5">
      <c r="A32" s="4"/>
      <c r="B32" s="44">
        <v>4</v>
      </c>
      <c r="C32" s="113" t="str">
        <f>HYPERLINK("#'Dashboard - Resultados'!A1","Dashboard - Resultados")</f>
        <v>Dashboard - Resultados</v>
      </c>
      <c r="D32" s="118" t="s">
        <v>176</v>
      </c>
      <c r="E32" s="115"/>
      <c r="F32" s="116"/>
      <c r="G32" s="4"/>
    </row>
    <row r="33" spans="1:7" ht="12" customHeight="1">
      <c r="A33" s="4"/>
      <c r="B33" s="38"/>
      <c r="C33" s="4"/>
      <c r="D33" s="4"/>
      <c r="E33" s="4"/>
      <c r="F33" s="39"/>
      <c r="G33" s="4"/>
    </row>
    <row r="34" spans="1:7" ht="3" customHeight="1">
      <c r="A34" s="4"/>
      <c r="B34" s="42"/>
      <c r="C34" s="107"/>
      <c r="D34" s="107"/>
      <c r="E34" s="107"/>
      <c r="F34" s="43"/>
      <c r="G34" s="4"/>
    </row>
    <row r="35" spans="1:7" ht="6" customHeight="1">
      <c r="A35" s="4"/>
      <c r="B35" s="38"/>
      <c r="C35" s="4"/>
      <c r="D35" s="4"/>
      <c r="E35" s="4"/>
      <c r="F35" s="39"/>
      <c r="G35" s="4"/>
    </row>
    <row r="36" spans="1:7">
      <c r="A36" s="4"/>
      <c r="B36" s="38"/>
      <c r="C36" s="1" t="s">
        <v>16</v>
      </c>
      <c r="D36" s="40"/>
      <c r="E36" s="4"/>
      <c r="F36" s="39"/>
      <c r="G36" s="4"/>
    </row>
    <row r="37" spans="1:7" ht="6" customHeight="1">
      <c r="A37" s="4"/>
      <c r="B37" s="38"/>
      <c r="C37" s="4"/>
      <c r="D37" s="4"/>
      <c r="E37" s="4"/>
      <c r="F37" s="39"/>
      <c r="G37" s="4"/>
    </row>
    <row r="38" spans="1:7">
      <c r="A38" s="4"/>
      <c r="B38" s="38"/>
      <c r="C38" s="109" t="s">
        <v>17</v>
      </c>
      <c r="D38" s="16" t="s">
        <v>18</v>
      </c>
      <c r="E38" s="4"/>
      <c r="F38" s="39"/>
      <c r="G38" s="4"/>
    </row>
    <row r="39" spans="1:7">
      <c r="A39" s="4"/>
      <c r="B39" s="38"/>
      <c r="C39" s="45" t="s">
        <v>19</v>
      </c>
      <c r="D39" s="16" t="s">
        <v>20</v>
      </c>
      <c r="E39" s="4"/>
      <c r="F39" s="39"/>
      <c r="G39" s="4"/>
    </row>
    <row r="40" spans="1:7">
      <c r="A40" s="4"/>
      <c r="B40" s="38"/>
      <c r="C40" s="110" t="s">
        <v>21</v>
      </c>
      <c r="D40" s="16" t="s">
        <v>22</v>
      </c>
      <c r="E40" s="4"/>
      <c r="F40" s="39"/>
      <c r="G40" s="4"/>
    </row>
    <row r="41" spans="1:7">
      <c r="A41" s="4"/>
      <c r="B41" s="38"/>
      <c r="C41" s="111" t="s">
        <v>23</v>
      </c>
      <c r="D41" s="16" t="s">
        <v>24</v>
      </c>
      <c r="E41" s="4"/>
      <c r="F41" s="39"/>
      <c r="G41" s="4"/>
    </row>
    <row r="42" spans="1:7" ht="10" customHeight="1">
      <c r="A42" s="4"/>
      <c r="B42" s="38"/>
      <c r="C42" s="4"/>
      <c r="D42" s="4"/>
      <c r="E42" s="4"/>
      <c r="F42" s="39"/>
      <c r="G42" s="4"/>
    </row>
    <row r="43" spans="1:7" ht="10" customHeight="1">
      <c r="A43" s="4"/>
      <c r="B43" s="38"/>
      <c r="C43" s="4"/>
      <c r="D43" s="4"/>
      <c r="E43" s="4"/>
      <c r="F43" s="39"/>
      <c r="G43" s="4"/>
    </row>
    <row r="44" spans="1:7" ht="22" customHeight="1" thickBot="1">
      <c r="A44" s="4"/>
      <c r="B44" s="46"/>
      <c r="C44" s="47" t="s">
        <v>26</v>
      </c>
      <c r="D44" s="48"/>
      <c r="E44" s="48"/>
      <c r="F44" s="49"/>
      <c r="G44" s="4"/>
    </row>
    <row r="45" spans="1:7">
      <c r="A45" s="4"/>
      <c r="B45" s="4"/>
      <c r="C45" s="4"/>
      <c r="D45" s="4"/>
      <c r="E45" s="4"/>
      <c r="F45" s="4"/>
      <c r="G45" s="4"/>
    </row>
    <row r="46" spans="1:7">
      <c r="A46" s="4"/>
      <c r="B46" s="4"/>
      <c r="C46" s="4"/>
      <c r="D46" s="4"/>
      <c r="E46" s="4"/>
      <c r="F46" s="4"/>
      <c r="G46" s="4"/>
    </row>
    <row r="47" spans="1:7">
      <c r="A47" s="4"/>
      <c r="B47" s="4"/>
      <c r="C47" s="4"/>
      <c r="D47" s="4"/>
      <c r="E47" s="4"/>
      <c r="F47" s="4"/>
      <c r="G47" s="4"/>
    </row>
    <row r="48" spans="1:7">
      <c r="A48" s="4"/>
      <c r="B48" s="4"/>
      <c r="C48" s="4"/>
      <c r="D48" s="4"/>
      <c r="E48" s="4"/>
      <c r="F48" s="4"/>
      <c r="G48" s="4"/>
    </row>
  </sheetData>
  <hyperlinks>
    <hyperlink ref="C26" location="'Supuestos'!A1" tooltip="Ir a Supuestos" display="Supuestos" xr:uid="{C3B05145-5A26-4471-9875-1EC4A18F903C}"/>
    <hyperlink ref="C28" location="'Modelo'!A1" tooltip="Ir a Modelo" display="Modelo" xr:uid="{4720977F-863C-4078-ADEF-13E4632B4E2E}"/>
    <hyperlink ref="C30" location="'Insights'!A1" tooltip="Ir a Insights" display="Insights" xr:uid="{30BB9D20-04F0-4313-BD22-C2947B7A950F}"/>
    <hyperlink ref="C32" location="'Dashboard'!A1" tooltip="Ir a Dashboard" display="Dashboard" xr:uid="{2C7ECA72-3EC2-493B-90EB-B0C355D05E33}"/>
    <hyperlink ref="D11" r:id="rId1" xr:uid="{5AB8A18D-513D-4411-89CB-482E5562210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B42D-65B2-4F89-A287-1C185CD8B63A}">
  <sheetPr>
    <tabColor rgb="FF0000FF"/>
  </sheetPr>
  <dimension ref="A1:K82"/>
  <sheetViews>
    <sheetView showGridLines="0" zoomScale="59" zoomScaleNormal="59" workbookViewId="0">
      <pane ySplit="2" topLeftCell="A3" activePane="bottomLeft" state="frozen"/>
      <selection activeCell="B1" sqref="B1"/>
      <selection pane="bottomLeft" activeCell="D2" sqref="D2"/>
    </sheetView>
  </sheetViews>
  <sheetFormatPr baseColWidth="10" defaultRowHeight="14.5"/>
  <cols>
    <col min="1" max="1" width="13.7265625" customWidth="1"/>
    <col min="2" max="2" width="47.54296875" customWidth="1"/>
    <col min="4" max="11" width="19" customWidth="1"/>
  </cols>
  <sheetData>
    <row r="1" spans="1:11" ht="30" customHeight="1">
      <c r="A1" s="52" t="str">
        <f>HYPERLINK("#'Portada - Indice'!A1","← Volver a Portada")</f>
        <v>← Volver a Portada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ht="30" customHeight="1">
      <c r="A2" s="52"/>
      <c r="B2" s="52" t="s">
        <v>68</v>
      </c>
      <c r="C2" s="52"/>
      <c r="D2" s="120">
        <v>2022</v>
      </c>
      <c r="E2" s="120">
        <v>2023</v>
      </c>
      <c r="F2" s="120">
        <v>2024</v>
      </c>
      <c r="G2" s="119" t="s">
        <v>62</v>
      </c>
      <c r="H2" s="119" t="s">
        <v>63</v>
      </c>
      <c r="I2" s="119" t="s">
        <v>64</v>
      </c>
      <c r="J2" s="119" t="s">
        <v>65</v>
      </c>
      <c r="K2" s="119" t="s">
        <v>66</v>
      </c>
    </row>
    <row r="3" spans="1:11" ht="15" customHeight="1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/>
      <c r="B4" s="53" t="s">
        <v>27</v>
      </c>
      <c r="C4" s="51"/>
    </row>
    <row r="5" spans="1:11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</row>
    <row r="6" spans="1:11">
      <c r="A6" s="51"/>
      <c r="B6" s="54" t="s">
        <v>28</v>
      </c>
      <c r="C6" s="55" t="s">
        <v>29</v>
      </c>
      <c r="D6" s="51"/>
      <c r="E6" s="51"/>
      <c r="F6" s="51"/>
      <c r="G6" s="51"/>
      <c r="H6" s="51"/>
      <c r="I6" s="51"/>
      <c r="J6" s="51"/>
      <c r="K6" s="51"/>
    </row>
    <row r="7" spans="1:11">
      <c r="A7" s="51"/>
      <c r="B7" s="51" t="s">
        <v>155</v>
      </c>
      <c r="C7" s="16" t="s">
        <v>30</v>
      </c>
      <c r="D7" s="7">
        <v>20340</v>
      </c>
      <c r="E7" s="7">
        <v>20126</v>
      </c>
      <c r="F7" s="7">
        <v>19543</v>
      </c>
      <c r="G7" s="8">
        <f>F7*(1+G13)</f>
        <v>19347.57</v>
      </c>
      <c r="H7" s="8">
        <f t="shared" ref="H7:K7" si="0">G7*(1+H13)</f>
        <v>19444.307849999997</v>
      </c>
      <c r="I7" s="8">
        <f t="shared" si="0"/>
        <v>19638.750928499998</v>
      </c>
      <c r="J7" s="8">
        <f t="shared" si="0"/>
        <v>19835.138437784997</v>
      </c>
      <c r="K7" s="8">
        <f t="shared" si="0"/>
        <v>20132.665514351771</v>
      </c>
    </row>
    <row r="8" spans="1:11">
      <c r="A8" s="51"/>
      <c r="B8" s="51" t="s">
        <v>156</v>
      </c>
      <c r="C8" s="16" t="s">
        <v>30</v>
      </c>
      <c r="D8" s="7">
        <v>3401</v>
      </c>
      <c r="E8" s="7">
        <v>3623</v>
      </c>
      <c r="F8" s="7">
        <v>3535</v>
      </c>
      <c r="G8" s="8">
        <f>F8*(1+G14)</f>
        <v>3570.35</v>
      </c>
      <c r="H8" s="8">
        <f>G8*(1+H14)</f>
        <v>3623.9052499999993</v>
      </c>
      <c r="I8" s="8">
        <f>H8*(1+I14)</f>
        <v>3696.3833549999995</v>
      </c>
      <c r="J8" s="8">
        <f t="shared" ref="J8:K8" si="1">I8*(1+J14)</f>
        <v>3770.3110220999997</v>
      </c>
      <c r="K8" s="8">
        <f t="shared" si="1"/>
        <v>3845.7172425419999</v>
      </c>
    </row>
    <row r="9" spans="1:11">
      <c r="A9" s="51"/>
      <c r="B9" s="51" t="s">
        <v>157</v>
      </c>
      <c r="C9" s="16" t="s">
        <v>30</v>
      </c>
      <c r="D9" s="7">
        <v>2744</v>
      </c>
      <c r="E9" s="7">
        <v>2891</v>
      </c>
      <c r="F9" s="7">
        <v>2768</v>
      </c>
      <c r="G9" s="8">
        <f>F9*(1+G15)</f>
        <v>2851.04</v>
      </c>
      <c r="H9" s="8">
        <f t="shared" ref="H9:K9" si="2">G9*(1+H15)</f>
        <v>2950.8263999999999</v>
      </c>
      <c r="I9" s="8">
        <f t="shared" si="2"/>
        <v>3068.8594560000001</v>
      </c>
      <c r="J9" s="8">
        <f t="shared" si="2"/>
        <v>3191.6138342400004</v>
      </c>
      <c r="K9" s="8">
        <f t="shared" si="2"/>
        <v>3319.2783876096005</v>
      </c>
    </row>
    <row r="10" spans="1:11">
      <c r="A10" s="51"/>
      <c r="B10" s="56" t="s">
        <v>31</v>
      </c>
      <c r="C10" s="16" t="s">
        <v>30</v>
      </c>
      <c r="D10" s="57">
        <f>SUM(D7:D9)</f>
        <v>26485</v>
      </c>
      <c r="E10" s="57">
        <f>SUM(E7:E9)</f>
        <v>26640</v>
      </c>
      <c r="F10" s="57">
        <f>SUM(F7:F9)</f>
        <v>25846</v>
      </c>
      <c r="G10" s="57">
        <f>SUM(G7:G9)</f>
        <v>25768.959999999999</v>
      </c>
      <c r="H10" s="57">
        <f t="shared" ref="H10:K10" si="3">SUM(H7:H9)</f>
        <v>26019.039499999999</v>
      </c>
      <c r="I10" s="57">
        <f t="shared" si="3"/>
        <v>26403.993739499994</v>
      </c>
      <c r="J10" s="57">
        <f t="shared" si="3"/>
        <v>26797.063294124997</v>
      </c>
      <c r="K10" s="57">
        <f t="shared" si="3"/>
        <v>27297.66114450337</v>
      </c>
    </row>
    <row r="11" spans="1:1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</row>
    <row r="12" spans="1:11">
      <c r="A12" s="51"/>
      <c r="B12" s="54" t="s">
        <v>32</v>
      </c>
      <c r="C12" s="55" t="s">
        <v>33</v>
      </c>
      <c r="D12" s="51"/>
      <c r="E12" s="51"/>
      <c r="F12" s="51"/>
      <c r="G12" s="51"/>
      <c r="H12" s="51"/>
      <c r="I12" s="51"/>
      <c r="J12" s="51"/>
      <c r="K12" s="51"/>
    </row>
    <row r="13" spans="1:11">
      <c r="A13" s="51"/>
      <c r="B13" s="51" t="s">
        <v>155</v>
      </c>
      <c r="C13" s="16" t="s">
        <v>34</v>
      </c>
      <c r="D13" s="51"/>
      <c r="E13" s="17">
        <f t="shared" ref="E13:F16" si="4">E7/D7-1</f>
        <v>-1.0521140609636159E-2</v>
      </c>
      <c r="F13" s="17">
        <f t="shared" si="4"/>
        <v>-2.8967504720262327E-2</v>
      </c>
      <c r="G13" s="129">
        <v>-0.01</v>
      </c>
      <c r="H13" s="129">
        <v>5.0000000000000001E-3</v>
      </c>
      <c r="I13" s="129">
        <v>0.01</v>
      </c>
      <c r="J13" s="129">
        <v>0.01</v>
      </c>
      <c r="K13" s="129">
        <v>1.4999999999999999E-2</v>
      </c>
    </row>
    <row r="14" spans="1:11">
      <c r="A14" s="51"/>
      <c r="B14" s="51" t="s">
        <v>156</v>
      </c>
      <c r="C14" s="16" t="s">
        <v>34</v>
      </c>
      <c r="D14" s="51"/>
      <c r="E14" s="17">
        <f>E8/D8-1</f>
        <v>6.5274919141429022E-2</v>
      </c>
      <c r="F14" s="17">
        <f t="shared" si="4"/>
        <v>-2.4289263041678222E-2</v>
      </c>
      <c r="G14" s="129">
        <v>0.01</v>
      </c>
      <c r="H14" s="129">
        <v>1.4999999999999999E-2</v>
      </c>
      <c r="I14" s="129">
        <v>0.02</v>
      </c>
      <c r="J14" s="129">
        <v>0.02</v>
      </c>
      <c r="K14" s="129">
        <v>0.02</v>
      </c>
    </row>
    <row r="15" spans="1:11">
      <c r="A15" s="51"/>
      <c r="B15" s="51" t="s">
        <v>157</v>
      </c>
      <c r="C15" s="16" t="s">
        <v>34</v>
      </c>
      <c r="D15" s="51"/>
      <c r="E15" s="17">
        <f t="shared" si="4"/>
        <v>5.3571428571428603E-2</v>
      </c>
      <c r="F15" s="17">
        <f t="shared" si="4"/>
        <v>-4.2545831892078834E-2</v>
      </c>
      <c r="G15" s="129">
        <v>0.03</v>
      </c>
      <c r="H15" s="129">
        <v>3.5000000000000003E-2</v>
      </c>
      <c r="I15" s="129">
        <v>0.04</v>
      </c>
      <c r="J15" s="129">
        <v>0.04</v>
      </c>
      <c r="K15" s="129">
        <v>0.04</v>
      </c>
    </row>
    <row r="16" spans="1:11">
      <c r="A16" s="51"/>
      <c r="B16" s="45" t="s">
        <v>35</v>
      </c>
      <c r="C16" s="16" t="s">
        <v>34</v>
      </c>
      <c r="D16" s="51"/>
      <c r="E16" s="58">
        <f>E10/D10-1</f>
        <v>5.8523692656220483E-3</v>
      </c>
      <c r="F16" s="58">
        <f t="shared" si="4"/>
        <v>-2.9804804804804852E-2</v>
      </c>
      <c r="G16" s="58">
        <f>G10/F10-1</f>
        <v>-2.9807320281668437E-3</v>
      </c>
      <c r="H16" s="58">
        <f>H10/G10-1</f>
        <v>9.7046795834989652E-3</v>
      </c>
      <c r="I16" s="58">
        <f>I10/H10-1</f>
        <v>1.4795098008902219E-2</v>
      </c>
      <c r="J16" s="58">
        <f>J10/I10-1</f>
        <v>1.4886746243882643E-2</v>
      </c>
      <c r="K16" s="17">
        <f>(K10-J10)/J10</f>
        <v>1.868107131306903E-2</v>
      </c>
    </row>
    <row r="17" spans="1:1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</row>
    <row r="18" spans="1:11">
      <c r="A18" s="51"/>
      <c r="B18" s="53" t="s">
        <v>36</v>
      </c>
      <c r="C18" s="51"/>
      <c r="D18" s="51"/>
      <c r="E18" s="51"/>
      <c r="F18" s="51"/>
      <c r="G18" s="51"/>
      <c r="H18" s="51"/>
      <c r="I18" s="51"/>
      <c r="J18" s="51"/>
      <c r="K18" s="51"/>
    </row>
    <row r="19" spans="1:1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spans="1:11">
      <c r="A20" s="51"/>
      <c r="B20" s="51" t="s">
        <v>37</v>
      </c>
      <c r="C20" s="16" t="s">
        <v>34</v>
      </c>
      <c r="D20" s="17">
        <f>8122/D10</f>
        <v>0.30666414951859544</v>
      </c>
      <c r="E20" s="17">
        <f>8926/E10</f>
        <v>0.33506006006006006</v>
      </c>
      <c r="F20" s="17">
        <f>8968/F10</f>
        <v>0.34697825582295133</v>
      </c>
      <c r="G20" s="129">
        <v>0.34799999999999998</v>
      </c>
      <c r="H20" s="129">
        <v>0.35</v>
      </c>
      <c r="I20" s="129">
        <v>0.35199999999999998</v>
      </c>
      <c r="J20" s="129">
        <v>0.35499999999999998</v>
      </c>
      <c r="K20" s="129">
        <v>0.35699999999999998</v>
      </c>
    </row>
    <row r="21" spans="1:11">
      <c r="A21" s="51"/>
      <c r="B21" s="51" t="s">
        <v>38</v>
      </c>
      <c r="C21" s="16" t="s">
        <v>34</v>
      </c>
      <c r="D21" s="17">
        <f>3575/D10</f>
        <v>0.13498206531999246</v>
      </c>
      <c r="E21" s="17">
        <f>3692/E10</f>
        <v>0.13858858858858858</v>
      </c>
      <c r="F21" s="17">
        <f>3616/F10</f>
        <v>0.13990559467615879</v>
      </c>
      <c r="G21" s="129">
        <v>0.13900000000000001</v>
      </c>
      <c r="H21" s="129">
        <v>0.13800000000000001</v>
      </c>
      <c r="I21" s="129">
        <v>0.13700000000000001</v>
      </c>
      <c r="J21" s="129">
        <v>0.13600000000000001</v>
      </c>
      <c r="K21" s="129">
        <v>0.13500000000000001</v>
      </c>
    </row>
    <row r="22" spans="1:11">
      <c r="A22" s="51"/>
      <c r="B22" s="51" t="s">
        <v>39</v>
      </c>
      <c r="C22" s="16" t="s">
        <v>30</v>
      </c>
      <c r="D22" s="7">
        <v>933</v>
      </c>
      <c r="E22" s="7">
        <v>961</v>
      </c>
      <c r="F22" s="7">
        <v>948</v>
      </c>
      <c r="G22" s="8">
        <f>G23*F43</f>
        <v>951.21600000000001</v>
      </c>
      <c r="H22" s="8">
        <f>H23*G43</f>
        <v>961.79513919999999</v>
      </c>
      <c r="I22" s="8">
        <f>I23*H43</f>
        <v>972.2976758264</v>
      </c>
      <c r="J22" s="8">
        <f>J23*I43</f>
        <v>983.45133163562866</v>
      </c>
      <c r="K22" s="8">
        <f>K23*J43</f>
        <v>995.21268125283507</v>
      </c>
    </row>
    <row r="23" spans="1:11">
      <c r="A23" s="51"/>
      <c r="B23" s="16" t="s">
        <v>80</v>
      </c>
      <c r="C23" s="16" t="s">
        <v>34</v>
      </c>
      <c r="D23" s="17">
        <f>D22/D43</f>
        <v>0.13122362869198312</v>
      </c>
      <c r="E23" s="17">
        <f>E22/D43</f>
        <v>0.13516174402250353</v>
      </c>
      <c r="F23" s="17">
        <f>F22/E43</f>
        <v>0.13310867733782644</v>
      </c>
      <c r="G23" s="129">
        <v>0.13300000000000001</v>
      </c>
      <c r="H23" s="129">
        <v>0.13300000000000001</v>
      </c>
      <c r="I23" s="129">
        <v>0.13300000000000001</v>
      </c>
      <c r="J23" s="129">
        <v>0.13300000000000001</v>
      </c>
      <c r="K23" s="129">
        <v>0.13300000000000001</v>
      </c>
    </row>
    <row r="24" spans="1:11">
      <c r="A24" s="51"/>
      <c r="B24" s="51" t="s">
        <v>40</v>
      </c>
      <c r="C24" s="16" t="s">
        <v>30</v>
      </c>
      <c r="D24" s="7">
        <v>921</v>
      </c>
      <c r="E24" s="7">
        <v>912</v>
      </c>
      <c r="F24" s="7">
        <v>912</v>
      </c>
      <c r="G24" s="18">
        <v>900</v>
      </c>
      <c r="H24" s="18">
        <v>885</v>
      </c>
      <c r="I24" s="18">
        <v>870</v>
      </c>
      <c r="J24" s="18">
        <v>855</v>
      </c>
      <c r="K24" s="18">
        <v>840</v>
      </c>
    </row>
    <row r="25" spans="1:11">
      <c r="A25" s="51"/>
      <c r="B25" s="51" t="s">
        <v>41</v>
      </c>
      <c r="C25" s="16" t="s">
        <v>30</v>
      </c>
      <c r="D25" s="10">
        <v>253</v>
      </c>
      <c r="E25" s="10">
        <v>-27</v>
      </c>
      <c r="F25" s="10">
        <v>85</v>
      </c>
      <c r="G25" s="130">
        <v>0</v>
      </c>
      <c r="H25" s="130">
        <v>0</v>
      </c>
      <c r="I25" s="130">
        <v>0</v>
      </c>
      <c r="J25" s="130">
        <v>0</v>
      </c>
      <c r="K25" s="130">
        <v>0</v>
      </c>
    </row>
    <row r="26" spans="1:11">
      <c r="A26" s="51"/>
      <c r="B26" s="51" t="s">
        <v>42</v>
      </c>
      <c r="C26" s="16" t="s">
        <v>34</v>
      </c>
      <c r="D26" s="17">
        <f>598/2966</f>
        <v>0.20161834120026972</v>
      </c>
      <c r="E26" s="17">
        <f>787/3633</f>
        <v>0.21662537847508945</v>
      </c>
      <c r="F26" s="59" t="s">
        <v>43</v>
      </c>
      <c r="G26" s="129">
        <v>0.22</v>
      </c>
      <c r="H26" s="129">
        <v>0.22</v>
      </c>
      <c r="I26" s="129">
        <v>0.22</v>
      </c>
      <c r="J26" s="129">
        <v>0.22</v>
      </c>
      <c r="K26" s="129">
        <v>0.22</v>
      </c>
    </row>
    <row r="27" spans="1:11">
      <c r="A27" s="51"/>
      <c r="B27" s="51" t="s">
        <v>44</v>
      </c>
      <c r="C27" s="16" t="s">
        <v>30</v>
      </c>
      <c r="D27" s="10">
        <f>444+469</f>
        <v>913</v>
      </c>
      <c r="E27" s="10">
        <f>510+152</f>
        <v>662</v>
      </c>
      <c r="F27" s="10">
        <f>1638+2031</f>
        <v>3669</v>
      </c>
      <c r="G27" s="130">
        <v>0</v>
      </c>
      <c r="H27" s="130">
        <v>0</v>
      </c>
      <c r="I27" s="130">
        <v>0</v>
      </c>
      <c r="J27" s="130">
        <v>0</v>
      </c>
      <c r="K27" s="130">
        <v>0</v>
      </c>
    </row>
    <row r="28" spans="1:11" ht="12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</row>
    <row r="29" spans="1:11">
      <c r="A29" s="51"/>
      <c r="B29" s="1" t="s">
        <v>158</v>
      </c>
      <c r="C29" s="60"/>
      <c r="D29" s="60"/>
      <c r="E29" s="60"/>
      <c r="F29" s="60"/>
      <c r="G29" s="60"/>
      <c r="H29" s="60"/>
      <c r="I29" s="60"/>
      <c r="J29" s="60"/>
      <c r="K29" s="60"/>
    </row>
    <row r="30" spans="1:11" ht="3" customHeight="1">
      <c r="A30" s="51"/>
      <c r="B30" s="61"/>
      <c r="C30" s="61"/>
      <c r="D30" s="61"/>
      <c r="E30" s="61"/>
      <c r="F30" s="61"/>
      <c r="G30" s="61"/>
      <c r="H30" s="61"/>
      <c r="I30" s="61"/>
      <c r="J30" s="61"/>
      <c r="K30" s="61"/>
    </row>
    <row r="31" spans="1:11">
      <c r="A31" s="51"/>
      <c r="B31" s="4" t="s">
        <v>50</v>
      </c>
      <c r="C31" s="3" t="s">
        <v>30</v>
      </c>
      <c r="D31" s="50"/>
      <c r="E31" s="18">
        <v>2112</v>
      </c>
      <c r="F31" s="18">
        <v>2147</v>
      </c>
      <c r="G31" s="62">
        <f>G36/365*G10</f>
        <v>2139.1766794520549</v>
      </c>
      <c r="H31" s="62">
        <f>H36/365*H10</f>
        <v>2138.5511917808217</v>
      </c>
      <c r="I31" s="62">
        <f>I36/365*I10</f>
        <v>2170.1912662602736</v>
      </c>
      <c r="J31" s="62">
        <f>J36/365*J10</f>
        <v>2202.4983529417805</v>
      </c>
      <c r="K31" s="62">
        <f>K36/365*K10</f>
        <v>2243.643381740003</v>
      </c>
    </row>
    <row r="32" spans="1:11">
      <c r="A32" s="51"/>
      <c r="B32" s="63" t="s">
        <v>51</v>
      </c>
      <c r="C32" s="3" t="s">
        <v>30</v>
      </c>
      <c r="D32" s="50"/>
      <c r="E32" s="18">
        <v>3614</v>
      </c>
      <c r="F32" s="18">
        <v>3376</v>
      </c>
      <c r="G32" s="62">
        <f>G37/365*(G10*(1-G20))</f>
        <v>3360.2723839999999</v>
      </c>
      <c r="H32" s="62">
        <f>H37/365*(H10*(1-H20))</f>
        <v>3336.1398591780821</v>
      </c>
      <c r="I32" s="62">
        <f>I37/365*(I10*(1-I20))</f>
        <v>3328.2053259367553</v>
      </c>
      <c r="J32" s="62">
        <f>J37/365*(J10*(1-J20))</f>
        <v>3314.7600211773797</v>
      </c>
      <c r="K32" s="62">
        <f>K37/365*(K10*(1-K20))</f>
        <v>3366.2129537372512</v>
      </c>
    </row>
    <row r="33" spans="1:11">
      <c r="A33" s="51"/>
      <c r="B33" s="63" t="s">
        <v>52</v>
      </c>
      <c r="C33" s="3" t="s">
        <v>30</v>
      </c>
      <c r="D33" s="50"/>
      <c r="E33" s="18">
        <v>4627</v>
      </c>
      <c r="F33" s="18">
        <v>4188</v>
      </c>
      <c r="G33" s="62">
        <f>G38/365*(G10*(1-G20))</f>
        <v>4142.8015693150683</v>
      </c>
      <c r="H33" s="62">
        <f>H38/365*(H10*(1-H20))</f>
        <v>4123.839548150685</v>
      </c>
      <c r="I33" s="62">
        <f>I38/365*(I10*(1-I20))</f>
        <v>4125.0995589075283</v>
      </c>
      <c r="J33" s="62">
        <f>J38/365*(J10*(1-J20))</f>
        <v>4119.7731691776007</v>
      </c>
      <c r="K33" s="62">
        <f>K38/365*(K10*(1-K20))</f>
        <v>4183.7218139305842</v>
      </c>
    </row>
    <row r="34" spans="1:11">
      <c r="A34" s="51"/>
      <c r="B34" s="50"/>
      <c r="C34" s="50"/>
      <c r="D34" s="50"/>
      <c r="E34" s="50"/>
      <c r="F34" s="50"/>
      <c r="G34" s="50"/>
      <c r="H34" s="50"/>
      <c r="I34" s="50"/>
      <c r="J34" s="50"/>
      <c r="K34" s="50"/>
    </row>
    <row r="35" spans="1:11">
      <c r="A35" s="51"/>
      <c r="B35" s="27" t="s">
        <v>45</v>
      </c>
      <c r="C35" s="50"/>
      <c r="D35" s="50"/>
      <c r="E35" s="50"/>
      <c r="F35" s="50"/>
      <c r="G35" s="50"/>
      <c r="H35" s="50"/>
      <c r="I35" s="50"/>
      <c r="J35" s="50"/>
      <c r="K35" s="50"/>
    </row>
    <row r="36" spans="1:11">
      <c r="A36" s="51"/>
      <c r="B36" s="63" t="s">
        <v>46</v>
      </c>
      <c r="C36" s="3" t="s">
        <v>47</v>
      </c>
      <c r="D36" s="50"/>
      <c r="E36" s="64">
        <f>E31/E10*365</f>
        <v>28.936936936936934</v>
      </c>
      <c r="F36" s="64">
        <f>F31/F10*365</f>
        <v>30.320165596223784</v>
      </c>
      <c r="G36" s="131">
        <v>30.3</v>
      </c>
      <c r="H36" s="131">
        <v>30</v>
      </c>
      <c r="I36" s="131">
        <v>30</v>
      </c>
      <c r="J36" s="131">
        <v>30</v>
      </c>
      <c r="K36" s="131">
        <v>30</v>
      </c>
    </row>
    <row r="37" spans="1:11">
      <c r="A37" s="51"/>
      <c r="B37" s="63" t="s">
        <v>48</v>
      </c>
      <c r="C37" s="3" t="s">
        <v>47</v>
      </c>
      <c r="D37" s="50"/>
      <c r="E37" s="64">
        <f>E32/(E10*(1-E20))*365</f>
        <v>74.467088178841593</v>
      </c>
      <c r="F37" s="64">
        <f>F32/(F10*(1-F20))*365</f>
        <v>73.00865031401824</v>
      </c>
      <c r="G37" s="131">
        <v>73</v>
      </c>
      <c r="H37" s="131">
        <v>72</v>
      </c>
      <c r="I37" s="131">
        <v>71</v>
      </c>
      <c r="J37" s="131">
        <v>70</v>
      </c>
      <c r="K37" s="131">
        <v>70</v>
      </c>
    </row>
    <row r="38" spans="1:11">
      <c r="A38" s="51"/>
      <c r="B38" s="63" t="s">
        <v>49</v>
      </c>
      <c r="C38" s="3" t="s">
        <v>47</v>
      </c>
      <c r="D38" s="50"/>
      <c r="E38" s="64">
        <f>E33/(E10*(1-E20))*365</f>
        <v>95.340126453652474</v>
      </c>
      <c r="F38" s="64">
        <f>F33/(F10*(1-F20))*365</f>
        <v>90.568787771062915</v>
      </c>
      <c r="G38" s="131">
        <v>90</v>
      </c>
      <c r="H38" s="131">
        <v>89</v>
      </c>
      <c r="I38" s="131">
        <v>88</v>
      </c>
      <c r="J38" s="131">
        <v>87</v>
      </c>
      <c r="K38" s="131">
        <v>87</v>
      </c>
    </row>
    <row r="39" spans="1:11">
      <c r="A39" s="51"/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spans="1:11">
      <c r="A40" s="51"/>
      <c r="B40" s="27" t="s">
        <v>53</v>
      </c>
      <c r="C40" s="50"/>
      <c r="D40" s="50"/>
      <c r="E40" s="50"/>
      <c r="F40" s="50"/>
      <c r="G40" s="50"/>
      <c r="H40" s="50"/>
      <c r="I40" s="50"/>
      <c r="J40" s="50"/>
      <c r="K40" s="50"/>
    </row>
    <row r="41" spans="1:11">
      <c r="A41" s="51"/>
      <c r="B41" s="63" t="s">
        <v>54</v>
      </c>
      <c r="C41" s="3" t="s">
        <v>30</v>
      </c>
      <c r="D41" s="18">
        <v>916</v>
      </c>
      <c r="E41" s="18">
        <v>1013</v>
      </c>
      <c r="F41" s="18">
        <v>1024</v>
      </c>
      <c r="G41" s="62">
        <f>G42*G10</f>
        <v>1030.7583999999999</v>
      </c>
      <c r="H41" s="62">
        <f>H42*H10</f>
        <v>1040.7615799999999</v>
      </c>
      <c r="I41" s="62">
        <f>I42*I10</f>
        <v>1056.1597495799997</v>
      </c>
      <c r="J41" s="62">
        <f>J42*J10</f>
        <v>1071.8825317649998</v>
      </c>
      <c r="K41" s="62">
        <f>K42*K10</f>
        <v>1091.9064457801348</v>
      </c>
    </row>
    <row r="42" spans="1:11">
      <c r="A42" s="51"/>
      <c r="B42" s="63" t="s">
        <v>55</v>
      </c>
      <c r="C42" s="3" t="s">
        <v>34</v>
      </c>
      <c r="D42" s="65">
        <f>D41/D10</f>
        <v>3.4585614498772892E-2</v>
      </c>
      <c r="E42" s="65">
        <f>E41/E10</f>
        <v>3.8025525525525523E-2</v>
      </c>
      <c r="F42" s="65">
        <f>F41/F10</f>
        <v>3.9619283448115765E-2</v>
      </c>
      <c r="G42" s="129">
        <v>0.04</v>
      </c>
      <c r="H42" s="129">
        <v>0.04</v>
      </c>
      <c r="I42" s="129">
        <v>0.04</v>
      </c>
      <c r="J42" s="129">
        <v>0.04</v>
      </c>
      <c r="K42" s="129">
        <v>0.04</v>
      </c>
    </row>
    <row r="43" spans="1:11">
      <c r="A43" s="51"/>
      <c r="B43" s="63" t="s">
        <v>56</v>
      </c>
      <c r="C43" s="3" t="s">
        <v>30</v>
      </c>
      <c r="D43" s="18">
        <v>7110</v>
      </c>
      <c r="E43" s="18">
        <v>7122</v>
      </c>
      <c r="F43" s="18">
        <v>7152</v>
      </c>
      <c r="G43" s="62">
        <f>F43+G41-G22</f>
        <v>7231.5423999999994</v>
      </c>
      <c r="H43" s="62">
        <f>G43+H41-H22</f>
        <v>7310.5088407999992</v>
      </c>
      <c r="I43" s="62">
        <f>H43+I41-I22</f>
        <v>7394.3709145535986</v>
      </c>
      <c r="J43" s="62">
        <f>I43+J41-J22</f>
        <v>7482.8021146829697</v>
      </c>
      <c r="K43" s="62">
        <f>J43+K41-K22</f>
        <v>7579.4958792102698</v>
      </c>
    </row>
    <row r="44" spans="1:11">
      <c r="A44" s="50"/>
      <c r="B44" s="4" t="s">
        <v>115</v>
      </c>
      <c r="C44" s="3" t="s">
        <v>30</v>
      </c>
      <c r="D44" s="50"/>
      <c r="E44" s="7">
        <v>72907</v>
      </c>
      <c r="F44" s="7">
        <v>68772</v>
      </c>
      <c r="G44" s="8">
        <f>F44-G27</f>
        <v>68772</v>
      </c>
      <c r="H44" s="8">
        <f>G44-H27</f>
        <v>68772</v>
      </c>
      <c r="I44" s="8">
        <f t="shared" ref="I44:K44" si="5">H44-I27</f>
        <v>68772</v>
      </c>
      <c r="J44" s="8">
        <f t="shared" si="5"/>
        <v>68772</v>
      </c>
      <c r="K44" s="8">
        <f t="shared" si="5"/>
        <v>68772</v>
      </c>
    </row>
    <row r="45" spans="1:11">
      <c r="A45" s="50"/>
      <c r="B45" s="4" t="s">
        <v>74</v>
      </c>
      <c r="C45" s="3" t="s">
        <v>30</v>
      </c>
      <c r="D45" s="50"/>
      <c r="E45" s="7">
        <v>1400</v>
      </c>
      <c r="F45" s="7">
        <v>1334</v>
      </c>
      <c r="G45" s="66">
        <f>Modelo!G44</f>
        <v>1651.7174850630126</v>
      </c>
      <c r="H45" s="66">
        <f>Modelo!H44</f>
        <v>2090.5551987357803</v>
      </c>
      <c r="I45" s="66">
        <f>Modelo!I44</f>
        <v>2615.2051574704565</v>
      </c>
      <c r="J45" s="66">
        <f>Modelo!J44</f>
        <v>3276.0680989156676</v>
      </c>
      <c r="K45" s="66">
        <f>Modelo!K44</f>
        <v>4066.1221301882492</v>
      </c>
    </row>
    <row r="46" spans="1:11">
      <c r="A46" s="50"/>
      <c r="B46" s="4" t="s">
        <v>75</v>
      </c>
      <c r="C46" s="3" t="s">
        <v>30</v>
      </c>
      <c r="D46" s="50"/>
      <c r="E46" s="7">
        <v>2381</v>
      </c>
      <c r="F46" s="7">
        <v>4708</v>
      </c>
      <c r="G46" s="8">
        <f>F46</f>
        <v>4708</v>
      </c>
      <c r="H46" s="8">
        <f>G46</f>
        <v>4708</v>
      </c>
      <c r="I46" s="8">
        <f t="shared" ref="I46:K46" si="6">H46</f>
        <v>4708</v>
      </c>
      <c r="J46" s="8">
        <f t="shared" si="6"/>
        <v>4708</v>
      </c>
      <c r="K46" s="8">
        <f t="shared" si="6"/>
        <v>4708</v>
      </c>
    </row>
    <row r="47" spans="1:1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</row>
    <row r="48" spans="1:11">
      <c r="A48" s="50"/>
      <c r="B48" s="4" t="s">
        <v>76</v>
      </c>
      <c r="C48" s="3" t="s">
        <v>30</v>
      </c>
      <c r="D48" s="50"/>
      <c r="E48" s="7">
        <v>638</v>
      </c>
      <c r="F48" s="7">
        <v>654</v>
      </c>
      <c r="G48" s="18">
        <v>650</v>
      </c>
      <c r="H48" s="18">
        <v>650</v>
      </c>
      <c r="I48" s="18">
        <v>650</v>
      </c>
      <c r="J48" s="18">
        <v>650</v>
      </c>
      <c r="K48" s="18">
        <v>650</v>
      </c>
    </row>
    <row r="49" spans="1:11">
      <c r="A49" s="50"/>
      <c r="B49" s="4" t="s">
        <v>77</v>
      </c>
      <c r="C49" s="3" t="s">
        <v>30</v>
      </c>
      <c r="D49" s="50"/>
      <c r="E49" s="7">
        <v>2985</v>
      </c>
      <c r="F49" s="7">
        <v>2815</v>
      </c>
      <c r="G49" s="8">
        <f>F49</f>
        <v>2815</v>
      </c>
      <c r="H49" s="8">
        <f>G49</f>
        <v>2815</v>
      </c>
      <c r="I49" s="8">
        <f t="shared" ref="I49:K49" si="7">H49</f>
        <v>2815</v>
      </c>
      <c r="J49" s="8">
        <f t="shared" si="7"/>
        <v>2815</v>
      </c>
      <c r="K49" s="8">
        <f t="shared" si="7"/>
        <v>2815</v>
      </c>
    </row>
    <row r="50" spans="1:1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</row>
    <row r="51" spans="1:11">
      <c r="A51" s="50"/>
      <c r="B51" s="9" t="s">
        <v>78</v>
      </c>
      <c r="C51" s="50"/>
      <c r="D51" s="50"/>
      <c r="E51" s="50"/>
      <c r="F51" s="50"/>
      <c r="G51" s="50"/>
      <c r="H51" s="50"/>
      <c r="I51" s="50"/>
      <c r="J51" s="50"/>
      <c r="K51" s="50"/>
    </row>
    <row r="52" spans="1:11">
      <c r="A52" s="50"/>
      <c r="B52" s="4" t="s">
        <v>159</v>
      </c>
      <c r="C52" s="3" t="s">
        <v>30</v>
      </c>
      <c r="D52" s="50"/>
      <c r="E52" s="7">
        <v>52049</v>
      </c>
      <c r="F52" s="7">
        <v>52147</v>
      </c>
      <c r="G52" s="8">
        <f>F52</f>
        <v>52147</v>
      </c>
      <c r="H52" s="8">
        <f>G52</f>
        <v>52147</v>
      </c>
      <c r="I52" s="8">
        <f t="shared" ref="I52:K52" si="8">H52</f>
        <v>52147</v>
      </c>
      <c r="J52" s="8">
        <f t="shared" si="8"/>
        <v>52147</v>
      </c>
      <c r="K52" s="8">
        <f t="shared" si="8"/>
        <v>52147</v>
      </c>
    </row>
    <row r="53" spans="1:11">
      <c r="A53" s="50"/>
      <c r="B53" s="4" t="s">
        <v>126</v>
      </c>
      <c r="C53" s="3" t="s">
        <v>30</v>
      </c>
      <c r="D53" s="50"/>
      <c r="E53" s="7">
        <v>1367</v>
      </c>
      <c r="F53" s="7">
        <v>2171</v>
      </c>
      <c r="G53" s="128">
        <f>Modelo!G82</f>
        <v>2987.9073791999999</v>
      </c>
      <c r="H53" s="128">
        <f>Modelo!H82</f>
        <v>3899.9155423439997</v>
      </c>
      <c r="I53" s="128">
        <f>Modelo!I82</f>
        <v>4930.873105313558</v>
      </c>
      <c r="J53" s="128">
        <f>Modelo!J82</f>
        <v>6104.355418540199</v>
      </c>
      <c r="K53" s="128">
        <f>Modelo!K82</f>
        <v>7419.7525309451903</v>
      </c>
    </row>
    <row r="54" spans="1:11">
      <c r="A54" s="50"/>
      <c r="B54" s="4" t="s">
        <v>160</v>
      </c>
      <c r="C54" s="3" t="s">
        <v>30</v>
      </c>
      <c r="D54" s="50"/>
      <c r="E54" s="10">
        <v>-1286</v>
      </c>
      <c r="F54" s="10">
        <v>-2218</v>
      </c>
      <c r="G54" s="11">
        <f>F54</f>
        <v>-2218</v>
      </c>
      <c r="H54" s="11">
        <f>G54</f>
        <v>-2218</v>
      </c>
      <c r="I54" s="11">
        <f t="shared" ref="I54:K54" si="9">H54</f>
        <v>-2218</v>
      </c>
      <c r="J54" s="11">
        <f t="shared" si="9"/>
        <v>-2218</v>
      </c>
      <c r="K54" s="11">
        <f t="shared" si="9"/>
        <v>-2218</v>
      </c>
    </row>
    <row r="55" spans="1:11">
      <c r="A55" s="50"/>
      <c r="B55" s="12" t="s">
        <v>79</v>
      </c>
      <c r="C55" s="13" t="s">
        <v>30</v>
      </c>
      <c r="D55" s="50"/>
      <c r="E55" s="14">
        <v>-2915</v>
      </c>
      <c r="F55" s="14">
        <v>-2915</v>
      </c>
      <c r="G55" s="15">
        <f>F55</f>
        <v>-2915</v>
      </c>
      <c r="H55" s="15">
        <f>G55</f>
        <v>-2915</v>
      </c>
      <c r="I55" s="15">
        <f t="shared" ref="I55:K55" si="10">H55</f>
        <v>-2915</v>
      </c>
      <c r="J55" s="15">
        <f t="shared" si="10"/>
        <v>-2915</v>
      </c>
      <c r="K55" s="15">
        <f t="shared" si="10"/>
        <v>-2915</v>
      </c>
    </row>
    <row r="56" spans="1:11">
      <c r="A56" s="51"/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spans="1:11">
      <c r="A57" s="51"/>
      <c r="B57" s="67" t="s">
        <v>57</v>
      </c>
      <c r="C57" s="68"/>
      <c r="D57" s="68"/>
      <c r="E57" s="68"/>
      <c r="F57" s="68"/>
      <c r="G57" s="68"/>
      <c r="H57" s="68"/>
      <c r="I57" s="68"/>
      <c r="J57" s="68"/>
      <c r="K57" s="68"/>
    </row>
    <row r="58" spans="1:11" ht="6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</row>
    <row r="59" spans="1:11">
      <c r="A59" s="51"/>
      <c r="B59" s="69" t="s">
        <v>58</v>
      </c>
      <c r="C59" s="51"/>
      <c r="D59" s="51"/>
      <c r="E59" s="7">
        <v>19394</v>
      </c>
      <c r="F59" s="7">
        <v>19215</v>
      </c>
      <c r="G59" s="18">
        <v>19000</v>
      </c>
      <c r="H59" s="18">
        <v>18800</v>
      </c>
      <c r="I59" s="18">
        <v>18600</v>
      </c>
      <c r="J59" s="18">
        <v>18400</v>
      </c>
      <c r="K59" s="18">
        <v>18200</v>
      </c>
    </row>
    <row r="60" spans="1:11">
      <c r="A60" s="51"/>
      <c r="B60" s="70" t="s">
        <v>59</v>
      </c>
      <c r="C60" s="71"/>
      <c r="D60" s="71"/>
      <c r="E60" s="72">
        <v>10201</v>
      </c>
      <c r="F60" s="72">
        <v>9679</v>
      </c>
      <c r="G60" s="132">
        <v>9500</v>
      </c>
      <c r="H60" s="132">
        <v>9300</v>
      </c>
      <c r="I60" s="132">
        <v>9100</v>
      </c>
      <c r="J60" s="132">
        <v>8900</v>
      </c>
      <c r="K60" s="132">
        <v>8700</v>
      </c>
    </row>
    <row r="61" spans="1:11" ht="6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</row>
    <row r="62" spans="1:11">
      <c r="A62" s="51"/>
      <c r="B62" s="69" t="s">
        <v>60</v>
      </c>
      <c r="C62" s="51"/>
      <c r="D62" s="7">
        <v>1960</v>
      </c>
      <c r="E62" s="7">
        <v>1965</v>
      </c>
      <c r="F62" s="7">
        <v>1931</v>
      </c>
      <c r="G62" s="18">
        <v>1940</v>
      </c>
      <c r="H62" s="18">
        <v>1950</v>
      </c>
      <c r="I62" s="18">
        <v>1960</v>
      </c>
      <c r="J62" s="18">
        <v>1970</v>
      </c>
      <c r="K62" s="18">
        <v>1980</v>
      </c>
    </row>
    <row r="63" spans="1:11">
      <c r="A63" s="51"/>
      <c r="B63" s="70" t="s">
        <v>61</v>
      </c>
      <c r="C63" s="71"/>
      <c r="D63" s="72">
        <v>1224</v>
      </c>
      <c r="E63" s="72">
        <v>1218</v>
      </c>
      <c r="F63" s="72">
        <v>1195</v>
      </c>
      <c r="G63" s="132">
        <v>1180</v>
      </c>
      <c r="H63" s="132">
        <v>1170</v>
      </c>
      <c r="I63" s="132">
        <v>1160</v>
      </c>
      <c r="J63" s="132">
        <v>1150</v>
      </c>
      <c r="K63" s="132">
        <v>1140</v>
      </c>
    </row>
    <row r="64" spans="1:11" ht="6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</row>
    <row r="65" spans="1:11">
      <c r="A65" s="51"/>
      <c r="B65" s="1" t="s">
        <v>69</v>
      </c>
      <c r="C65" s="68"/>
      <c r="D65" s="68"/>
      <c r="E65" s="68"/>
      <c r="F65" s="68"/>
      <c r="G65" s="50"/>
      <c r="H65" s="50"/>
      <c r="I65" s="50"/>
      <c r="J65" s="50"/>
      <c r="K65" s="50"/>
    </row>
    <row r="66" spans="1:11">
      <c r="A66" s="51"/>
      <c r="B66" s="50"/>
      <c r="C66" s="50"/>
      <c r="D66" s="50"/>
      <c r="E66" s="50"/>
      <c r="F66" s="50"/>
      <c r="G66" s="50"/>
      <c r="H66" s="50"/>
      <c r="I66" s="50"/>
      <c r="J66" s="50"/>
      <c r="K66" s="50"/>
    </row>
    <row r="67" spans="1:11">
      <c r="A67" s="51"/>
      <c r="B67" s="2" t="s">
        <v>70</v>
      </c>
      <c r="C67" s="3" t="s">
        <v>34</v>
      </c>
      <c r="D67" s="129">
        <v>0.09</v>
      </c>
      <c r="E67" s="50"/>
      <c r="F67" s="50"/>
      <c r="G67" s="50"/>
      <c r="H67" s="50"/>
      <c r="I67" s="50"/>
      <c r="J67" s="50"/>
      <c r="K67" s="50"/>
    </row>
    <row r="68" spans="1:11">
      <c r="A68" s="51"/>
      <c r="B68" s="2" t="s">
        <v>71</v>
      </c>
      <c r="C68" s="5" t="s">
        <v>34</v>
      </c>
      <c r="D68" s="129">
        <v>0.02</v>
      </c>
      <c r="E68" s="51"/>
      <c r="F68" s="51"/>
      <c r="G68" s="51"/>
      <c r="H68" s="51"/>
      <c r="I68" s="51"/>
      <c r="J68" s="51"/>
      <c r="K68" s="51"/>
    </row>
    <row r="69" spans="1:11">
      <c r="A69" s="51"/>
      <c r="B69" s="6" t="s">
        <v>72</v>
      </c>
      <c r="C69" s="13" t="s">
        <v>73</v>
      </c>
      <c r="D69" s="133">
        <v>10</v>
      </c>
    </row>
    <row r="70" spans="1:1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</row>
    <row r="71" spans="1:1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</row>
    <row r="72" spans="1:1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</row>
    <row r="73" spans="1:1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</row>
    <row r="74" spans="1:1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</row>
    <row r="75" spans="1:1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</row>
    <row r="76" spans="1:1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</row>
    <row r="77" spans="1:1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</row>
    <row r="78" spans="1:1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</row>
    <row r="79" spans="1:1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</row>
    <row r="80" spans="1:1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</row>
    <row r="81" spans="1:1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</row>
    <row r="82" spans="1:1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F2B2-0491-456D-B692-47C98528847C}">
  <sheetPr>
    <tabColor rgb="FF2D2D2D"/>
  </sheetPr>
  <dimension ref="A1:N93"/>
  <sheetViews>
    <sheetView showGridLines="0" zoomScale="66" zoomScaleNormal="66" workbookViewId="0">
      <pane ySplit="2" topLeftCell="A3" activePane="bottomLeft" state="frozen"/>
      <selection pane="bottomLeft"/>
    </sheetView>
  </sheetViews>
  <sheetFormatPr baseColWidth="10" defaultRowHeight="14.5"/>
  <cols>
    <col min="1" max="1" width="13.54296875" customWidth="1"/>
    <col min="2" max="2" width="41.81640625" customWidth="1"/>
    <col min="3" max="3" width="6.453125" customWidth="1"/>
    <col min="4" max="11" width="13.54296875" customWidth="1"/>
  </cols>
  <sheetData>
    <row r="1" spans="1:11" ht="17">
      <c r="A1" s="52" t="s">
        <v>67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ht="35.25" customHeight="1">
      <c r="A2" s="52"/>
      <c r="B2" s="52" t="s">
        <v>154</v>
      </c>
      <c r="C2" s="52"/>
      <c r="D2" s="120">
        <v>2022</v>
      </c>
      <c r="E2" s="120">
        <v>2023</v>
      </c>
      <c r="F2" s="120">
        <v>2024</v>
      </c>
      <c r="G2" s="52" t="s">
        <v>62</v>
      </c>
      <c r="H2" s="52" t="s">
        <v>63</v>
      </c>
      <c r="I2" s="52" t="s">
        <v>64</v>
      </c>
      <c r="J2" s="52" t="s">
        <v>65</v>
      </c>
      <c r="K2" s="52" t="s">
        <v>66</v>
      </c>
    </row>
    <row r="3" spans="1:11">
      <c r="A3" s="50"/>
      <c r="B3" s="50"/>
      <c r="C3" s="50"/>
    </row>
    <row r="4" spans="1:11">
      <c r="A4" s="50"/>
      <c r="B4" s="19" t="s">
        <v>81</v>
      </c>
      <c r="C4" s="20" t="s">
        <v>29</v>
      </c>
      <c r="D4" s="50"/>
      <c r="E4" s="50"/>
      <c r="F4" s="50"/>
      <c r="G4" s="50"/>
      <c r="H4" s="50"/>
      <c r="I4" s="50"/>
      <c r="J4" s="50"/>
      <c r="K4" s="50"/>
    </row>
    <row r="5" spans="1:1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</row>
    <row r="6" spans="1:11">
      <c r="A6" s="50"/>
      <c r="B6" s="22" t="s">
        <v>31</v>
      </c>
      <c r="C6" s="50"/>
      <c r="D6" s="81">
        <f>Supuestos!D10</f>
        <v>26485</v>
      </c>
      <c r="E6" s="81">
        <f>Supuestos!E10</f>
        <v>26640</v>
      </c>
      <c r="F6" s="81">
        <f>Supuestos!F10</f>
        <v>25846</v>
      </c>
      <c r="G6" s="81">
        <f>Supuestos!G10</f>
        <v>25768.959999999999</v>
      </c>
      <c r="H6" s="81">
        <f>Supuestos!H10</f>
        <v>26019.039499999999</v>
      </c>
      <c r="I6" s="81">
        <f>Supuestos!I10</f>
        <v>26403.993739499994</v>
      </c>
      <c r="J6" s="81">
        <f>Supuestos!J10</f>
        <v>26797.063294124997</v>
      </c>
      <c r="K6" s="81">
        <f>Supuestos!K10</f>
        <v>27297.66114450337</v>
      </c>
    </row>
    <row r="7" spans="1:11">
      <c r="A7" s="50"/>
      <c r="B7" s="21" t="s">
        <v>82</v>
      </c>
      <c r="C7" s="50"/>
      <c r="D7" s="81">
        <f>-D6*(1-Supuestos!D20)</f>
        <v>-18363</v>
      </c>
      <c r="E7" s="81">
        <f>-E6*(1-Supuestos!E20)</f>
        <v>-17714</v>
      </c>
      <c r="F7" s="81">
        <f>-F6*(1-Supuestos!F20)</f>
        <v>-16878</v>
      </c>
      <c r="G7" s="81">
        <f>-G6*(1-Supuestos!G20)</f>
        <v>-16801.361919999999</v>
      </c>
      <c r="H7" s="81">
        <f>-H6*(1-Supuestos!H20)</f>
        <v>-16912.375674999999</v>
      </c>
      <c r="I7" s="81">
        <f>-I6*(1-Supuestos!I20)</f>
        <v>-17109.787943195995</v>
      </c>
      <c r="J7" s="81">
        <f>-J6*(1-Supuestos!J20)</f>
        <v>-17284.105824710623</v>
      </c>
      <c r="K7" s="81">
        <f>-K6*(1-Supuestos!K20)</f>
        <v>-17552.396115915668</v>
      </c>
    </row>
    <row r="8" spans="1:11">
      <c r="A8" s="50"/>
      <c r="B8" s="23" t="s">
        <v>83</v>
      </c>
      <c r="C8" s="50"/>
      <c r="D8" s="83">
        <f t="shared" ref="D8:K8" si="0">D6+D7</f>
        <v>8122</v>
      </c>
      <c r="E8" s="83">
        <f t="shared" si="0"/>
        <v>8926</v>
      </c>
      <c r="F8" s="83">
        <f t="shared" si="0"/>
        <v>8968</v>
      </c>
      <c r="G8" s="83">
        <f t="shared" si="0"/>
        <v>8967.5980799999998</v>
      </c>
      <c r="H8" s="83">
        <f t="shared" si="0"/>
        <v>9106.6638249999996</v>
      </c>
      <c r="I8" s="83">
        <f t="shared" si="0"/>
        <v>9294.2057963039988</v>
      </c>
      <c r="J8" s="83">
        <f t="shared" si="0"/>
        <v>9512.9574694143739</v>
      </c>
      <c r="K8" s="83">
        <f t="shared" si="0"/>
        <v>9745.2650285877025</v>
      </c>
    </row>
    <row r="9" spans="1:11">
      <c r="A9" s="50"/>
      <c r="B9" s="21" t="s">
        <v>90</v>
      </c>
      <c r="C9" s="50"/>
      <c r="D9" s="81">
        <f>-D6*Supuestos!D21</f>
        <v>-3575.0000000000005</v>
      </c>
      <c r="E9" s="81">
        <f>-E6*Supuestos!E21</f>
        <v>-3691.9999999999995</v>
      </c>
      <c r="F9" s="81">
        <f>-F6*Supuestos!F21</f>
        <v>-3616</v>
      </c>
      <c r="G9" s="81">
        <f>-G6*Supuestos!G21</f>
        <v>-3581.88544</v>
      </c>
      <c r="H9" s="81">
        <f>-H6*Supuestos!H21</f>
        <v>-3590.6274510000003</v>
      </c>
      <c r="I9" s="81">
        <f>-I6*Supuestos!I21</f>
        <v>-3617.3471423114993</v>
      </c>
      <c r="J9" s="81">
        <f>-J6*Supuestos!J21</f>
        <v>-3644.4006080009999</v>
      </c>
      <c r="K9" s="81">
        <f>-K6*Supuestos!K21</f>
        <v>-3685.1842545079553</v>
      </c>
    </row>
    <row r="10" spans="1:11">
      <c r="A10" s="50"/>
      <c r="B10" s="21" t="s">
        <v>84</v>
      </c>
      <c r="C10" s="50"/>
      <c r="D10" s="81">
        <f>-Supuestos!D22</f>
        <v>-933</v>
      </c>
      <c r="E10" s="81">
        <f>-Supuestos!E22</f>
        <v>-961</v>
      </c>
      <c r="F10" s="81">
        <f>-Supuestos!F22</f>
        <v>-948</v>
      </c>
      <c r="G10" s="81">
        <f>-Supuestos!G22</f>
        <v>-951.21600000000001</v>
      </c>
      <c r="H10" s="81">
        <f>-Supuestos!H22</f>
        <v>-961.79513919999999</v>
      </c>
      <c r="I10" s="81">
        <f>-Supuestos!I22</f>
        <v>-972.2976758264</v>
      </c>
      <c r="J10" s="81">
        <f>-Supuestos!J22</f>
        <v>-983.45133163562866</v>
      </c>
      <c r="K10" s="81">
        <f>-Supuestos!K22</f>
        <v>-995.21268125283507</v>
      </c>
    </row>
    <row r="11" spans="1:11">
      <c r="A11" s="50"/>
      <c r="B11" s="21" t="s">
        <v>167</v>
      </c>
      <c r="C11" s="50"/>
      <c r="D11" s="81">
        <f>-Supuestos!D27</f>
        <v>-913</v>
      </c>
      <c r="E11" s="81">
        <f>-Supuestos!E27</f>
        <v>-662</v>
      </c>
      <c r="F11" s="81">
        <f>-Supuestos!F27</f>
        <v>-3669</v>
      </c>
      <c r="G11" s="81">
        <f>-Supuestos!G27</f>
        <v>0</v>
      </c>
      <c r="H11" s="81">
        <f>-Supuestos!H27</f>
        <v>0</v>
      </c>
      <c r="I11" s="81">
        <f>-Supuestos!I27</f>
        <v>0</v>
      </c>
      <c r="J11" s="81">
        <f>-Supuestos!J27</f>
        <v>0</v>
      </c>
      <c r="K11" s="81">
        <f>-Supuestos!K27</f>
        <v>0</v>
      </c>
    </row>
    <row r="12" spans="1:11">
      <c r="A12" s="50"/>
      <c r="B12" s="23" t="s">
        <v>85</v>
      </c>
      <c r="C12" s="50"/>
      <c r="D12" s="83">
        <f t="shared" ref="D12:K12" si="1">D8+D9+D10+D11</f>
        <v>2701</v>
      </c>
      <c r="E12" s="83">
        <f t="shared" si="1"/>
        <v>3611</v>
      </c>
      <c r="F12" s="83">
        <f t="shared" si="1"/>
        <v>735</v>
      </c>
      <c r="G12" s="83">
        <f t="shared" si="1"/>
        <v>4434.4966399999994</v>
      </c>
      <c r="H12" s="83">
        <f t="shared" si="1"/>
        <v>4554.2412347999998</v>
      </c>
      <c r="I12" s="83">
        <f t="shared" si="1"/>
        <v>4704.5609781660996</v>
      </c>
      <c r="J12" s="83">
        <f t="shared" si="1"/>
        <v>4885.1055297777448</v>
      </c>
      <c r="K12" s="83">
        <f t="shared" si="1"/>
        <v>5064.8680928269123</v>
      </c>
    </row>
    <row r="13" spans="1:11">
      <c r="A13" s="50"/>
      <c r="B13" s="21" t="s">
        <v>40</v>
      </c>
      <c r="C13" s="50"/>
      <c r="D13" s="81">
        <f>-Supuestos!D24</f>
        <v>-921</v>
      </c>
      <c r="E13" s="81">
        <f>-Supuestos!E24</f>
        <v>-912</v>
      </c>
      <c r="F13" s="81">
        <f>-Supuestos!F24</f>
        <v>-912</v>
      </c>
      <c r="G13" s="81">
        <f>-Supuestos!G24</f>
        <v>-900</v>
      </c>
      <c r="H13" s="81">
        <f>-Supuestos!H24</f>
        <v>-885</v>
      </c>
      <c r="I13" s="81">
        <f>-Supuestos!I24</f>
        <v>-870</v>
      </c>
      <c r="J13" s="81">
        <f>-Supuestos!J24</f>
        <v>-855</v>
      </c>
      <c r="K13" s="81">
        <f>-Supuestos!K24</f>
        <v>-840</v>
      </c>
    </row>
    <row r="14" spans="1:11">
      <c r="A14" s="50"/>
      <c r="B14" s="21" t="s">
        <v>86</v>
      </c>
      <c r="C14" s="50"/>
      <c r="D14" s="81">
        <f>-Supuestos!D25</f>
        <v>-253</v>
      </c>
      <c r="E14" s="81">
        <f>-Supuestos!E25</f>
        <v>27</v>
      </c>
      <c r="F14" s="81">
        <f>-Supuestos!F25</f>
        <v>-85</v>
      </c>
      <c r="G14" s="81">
        <f>-Supuestos!G25</f>
        <v>0</v>
      </c>
      <c r="H14" s="81">
        <f>-Supuestos!H25</f>
        <v>0</v>
      </c>
      <c r="I14" s="81">
        <f>-Supuestos!I25</f>
        <v>0</v>
      </c>
      <c r="J14" s="81">
        <f>-Supuestos!J25</f>
        <v>0</v>
      </c>
      <c r="K14" s="81">
        <f>-Supuestos!K25</f>
        <v>0</v>
      </c>
    </row>
    <row r="15" spans="1:11">
      <c r="A15" s="50"/>
      <c r="B15" s="23" t="s">
        <v>87</v>
      </c>
      <c r="C15" s="50"/>
      <c r="D15" s="83">
        <f t="shared" ref="D15:K15" si="2">D12+D13+D14</f>
        <v>1527</v>
      </c>
      <c r="E15" s="83">
        <f t="shared" si="2"/>
        <v>2726</v>
      </c>
      <c r="F15" s="83">
        <f t="shared" si="2"/>
        <v>-262</v>
      </c>
      <c r="G15" s="83">
        <f t="shared" si="2"/>
        <v>3534.4966399999994</v>
      </c>
      <c r="H15" s="83">
        <f t="shared" si="2"/>
        <v>3669.2412347999998</v>
      </c>
      <c r="I15" s="83">
        <f t="shared" si="2"/>
        <v>3834.5609781660996</v>
      </c>
      <c r="J15" s="83">
        <f t="shared" si="2"/>
        <v>4030.1055297777448</v>
      </c>
      <c r="K15" s="83">
        <f t="shared" si="2"/>
        <v>4224.8680928269123</v>
      </c>
    </row>
    <row r="16" spans="1:11">
      <c r="A16" s="50"/>
      <c r="B16" s="21" t="s">
        <v>88</v>
      </c>
      <c r="C16" s="50"/>
      <c r="D16" s="81">
        <f>-D15*Supuestos!D26</f>
        <v>-307.87120701281185</v>
      </c>
      <c r="E16" s="81">
        <f>-E15*Supuestos!E26</f>
        <v>-590.52078172309382</v>
      </c>
      <c r="F16" s="121">
        <v>1561</v>
      </c>
      <c r="G16" s="81">
        <f>-G15*Supuestos!G26</f>
        <v>-777.58926079999992</v>
      </c>
      <c r="H16" s="81">
        <f>-H15*Supuestos!H26</f>
        <v>-807.23307165599999</v>
      </c>
      <c r="I16" s="81">
        <f>-I15*Supuestos!I26</f>
        <v>-843.60341519654196</v>
      </c>
      <c r="J16" s="81">
        <f>-J15*Supuestos!J26</f>
        <v>-886.62321655110384</v>
      </c>
      <c r="K16" s="81">
        <f>-K15*Supuestos!K26</f>
        <v>-929.47098042192067</v>
      </c>
    </row>
    <row r="17" spans="1:11">
      <c r="A17" s="50"/>
      <c r="B17" s="25" t="s">
        <v>89</v>
      </c>
      <c r="C17" s="50"/>
      <c r="D17" s="97">
        <f t="shared" ref="D17:K17" si="3">D15+D16</f>
        <v>1219.1287929871883</v>
      </c>
      <c r="E17" s="97">
        <f t="shared" si="3"/>
        <v>2135.4792182769061</v>
      </c>
      <c r="F17" s="97">
        <f t="shared" si="3"/>
        <v>1299</v>
      </c>
      <c r="G17" s="97">
        <f t="shared" si="3"/>
        <v>2756.9073791999995</v>
      </c>
      <c r="H17" s="97">
        <f t="shared" si="3"/>
        <v>2862.0081631439998</v>
      </c>
      <c r="I17" s="97">
        <f t="shared" si="3"/>
        <v>2990.9575629695578</v>
      </c>
      <c r="J17" s="97">
        <f t="shared" si="3"/>
        <v>3143.4823132266411</v>
      </c>
      <c r="K17" s="97">
        <f t="shared" si="3"/>
        <v>3295.3971124049917</v>
      </c>
    </row>
    <row r="18" spans="1:1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</row>
    <row r="19" spans="1:1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spans="1:11">
      <c r="A20" s="50"/>
      <c r="B20" s="19" t="s">
        <v>91</v>
      </c>
      <c r="C20" s="20" t="s">
        <v>29</v>
      </c>
      <c r="D20" s="50"/>
      <c r="E20" s="50"/>
      <c r="F20" s="50"/>
      <c r="G20" s="50"/>
      <c r="H20" s="50"/>
      <c r="I20" s="50"/>
      <c r="J20" s="50"/>
      <c r="K20" s="50"/>
    </row>
    <row r="21" spans="1:11">
      <c r="A21" s="50"/>
      <c r="B21" s="27" t="s">
        <v>92</v>
      </c>
      <c r="C21" s="50"/>
      <c r="D21" s="50"/>
      <c r="E21" s="50"/>
      <c r="F21" s="50"/>
      <c r="G21" s="50"/>
      <c r="H21" s="50"/>
      <c r="I21" s="50"/>
      <c r="J21" s="50"/>
      <c r="K21" s="50"/>
    </row>
    <row r="22" spans="1:11">
      <c r="A22" s="50"/>
      <c r="B22" s="24" t="s">
        <v>89</v>
      </c>
      <c r="C22" s="50"/>
      <c r="D22" s="82">
        <f>D17</f>
        <v>1219.1287929871883</v>
      </c>
      <c r="E22" s="82">
        <f>E17</f>
        <v>2135.4792182769061</v>
      </c>
      <c r="F22" s="82">
        <f>F17</f>
        <v>1299</v>
      </c>
      <c r="G22" s="82">
        <f>G17</f>
        <v>2756.9073791999995</v>
      </c>
      <c r="H22" s="82">
        <f t="shared" ref="H22:K22" si="4">H17</f>
        <v>2862.0081631439998</v>
      </c>
      <c r="I22" s="82">
        <f t="shared" si="4"/>
        <v>2990.9575629695578</v>
      </c>
      <c r="J22" s="82">
        <f t="shared" si="4"/>
        <v>3143.4823132266411</v>
      </c>
      <c r="K22" s="82">
        <f t="shared" si="4"/>
        <v>3295.3971124049917</v>
      </c>
    </row>
    <row r="23" spans="1:11">
      <c r="A23" s="50"/>
      <c r="B23" s="24" t="s">
        <v>93</v>
      </c>
      <c r="C23" s="50"/>
      <c r="D23" s="82">
        <f t="shared" ref="D23:G24" si="5">-D10</f>
        <v>933</v>
      </c>
      <c r="E23" s="82">
        <f t="shared" si="5"/>
        <v>961</v>
      </c>
      <c r="F23" s="82">
        <f t="shared" si="5"/>
        <v>948</v>
      </c>
      <c r="G23" s="82">
        <f t="shared" si="5"/>
        <v>951.21600000000001</v>
      </c>
      <c r="H23" s="82">
        <f t="shared" ref="H23:K23" si="6">-H10</f>
        <v>961.79513919999999</v>
      </c>
      <c r="I23" s="82">
        <f t="shared" si="6"/>
        <v>972.2976758264</v>
      </c>
      <c r="J23" s="82">
        <f t="shared" si="6"/>
        <v>983.45133163562866</v>
      </c>
      <c r="K23" s="82">
        <f t="shared" si="6"/>
        <v>995.21268125283507</v>
      </c>
    </row>
    <row r="24" spans="1:11">
      <c r="A24" s="50"/>
      <c r="B24" s="24" t="s">
        <v>168</v>
      </c>
      <c r="C24" s="50"/>
      <c r="D24" s="82">
        <f t="shared" si="5"/>
        <v>913</v>
      </c>
      <c r="E24" s="82">
        <f t="shared" si="5"/>
        <v>662</v>
      </c>
      <c r="F24" s="82">
        <f t="shared" si="5"/>
        <v>3669</v>
      </c>
      <c r="G24" s="82">
        <f t="shared" si="5"/>
        <v>0</v>
      </c>
      <c r="H24" s="82">
        <f t="shared" ref="H24:K24" si="7">-H11</f>
        <v>0</v>
      </c>
      <c r="I24" s="82">
        <f t="shared" si="7"/>
        <v>0</v>
      </c>
      <c r="J24" s="82">
        <f t="shared" si="7"/>
        <v>0</v>
      </c>
      <c r="K24" s="82">
        <f t="shared" si="7"/>
        <v>0</v>
      </c>
    </row>
    <row r="25" spans="1:11">
      <c r="A25" s="50"/>
      <c r="B25" s="24" t="s">
        <v>94</v>
      </c>
      <c r="C25" s="50"/>
      <c r="D25" s="84"/>
      <c r="E25" s="84"/>
      <c r="F25" s="81">
        <f>Supuestos!F60-Supuestos!E60</f>
        <v>-522</v>
      </c>
      <c r="G25" s="81">
        <f>Supuestos!G60-Supuestos!F60</f>
        <v>-179</v>
      </c>
      <c r="H25" s="81">
        <f>Supuestos!H60-Supuestos!G60</f>
        <v>-200</v>
      </c>
      <c r="I25" s="81">
        <f>Supuestos!I60-Supuestos!H60</f>
        <v>-200</v>
      </c>
      <c r="J25" s="81">
        <f>Supuestos!J60-Supuestos!I60</f>
        <v>-200</v>
      </c>
      <c r="K25" s="81">
        <f>Supuestos!K60-Supuestos!J60</f>
        <v>-200</v>
      </c>
    </row>
    <row r="26" spans="1:11">
      <c r="A26" s="50"/>
      <c r="B26" s="24" t="s">
        <v>95</v>
      </c>
      <c r="C26" s="50"/>
      <c r="D26" s="84"/>
      <c r="E26" s="84"/>
      <c r="F26" s="81">
        <f>-(Supuestos!F31-Supuestos!E31)</f>
        <v>-35</v>
      </c>
      <c r="G26" s="81">
        <f>-(Supuestos!G31-Supuestos!F31)</f>
        <v>7.8233205479450589</v>
      </c>
      <c r="H26" s="81">
        <f>-(Supuestos!H31-Supuestos!G31)</f>
        <v>0.62548767123325888</v>
      </c>
      <c r="I26" s="81">
        <f>-(Supuestos!I31-Supuestos!H31)</f>
        <v>-31.640074479451869</v>
      </c>
      <c r="J26" s="81">
        <f>-(Supuestos!J31-Supuestos!I31)</f>
        <v>-32.307086681506917</v>
      </c>
      <c r="K26" s="81">
        <f>-(Supuestos!K31-Supuestos!J31)</f>
        <v>-41.145028798222484</v>
      </c>
    </row>
    <row r="27" spans="1:11">
      <c r="A27" s="50"/>
      <c r="B27" s="24" t="s">
        <v>96</v>
      </c>
      <c r="C27" s="50"/>
      <c r="D27" s="84"/>
      <c r="E27" s="84"/>
      <c r="F27" s="81">
        <f>-(Supuestos!F32-Supuestos!E32)</f>
        <v>238</v>
      </c>
      <c r="G27" s="81">
        <f>-(Supuestos!G32-Supuestos!F32)</f>
        <v>15.727616000000125</v>
      </c>
      <c r="H27" s="81">
        <f>-(Supuestos!H32-Supuestos!G32)</f>
        <v>24.132524821917741</v>
      </c>
      <c r="I27" s="81">
        <f>-(Supuestos!I32-Supuestos!H32)</f>
        <v>7.9345332413267897</v>
      </c>
      <c r="J27" s="81">
        <f>-(Supuestos!J32-Supuestos!I32)</f>
        <v>13.445304759375631</v>
      </c>
      <c r="K27" s="81">
        <f>-(Supuestos!K32-Supuestos!J32)</f>
        <v>-51.452932559871442</v>
      </c>
    </row>
    <row r="28" spans="1:11">
      <c r="A28" s="50"/>
      <c r="B28" s="24" t="s">
        <v>97</v>
      </c>
      <c r="C28" s="50"/>
      <c r="D28" s="84"/>
      <c r="E28" s="84"/>
      <c r="F28" s="81">
        <f>Supuestos!F33-Supuestos!E33</f>
        <v>-439</v>
      </c>
      <c r="G28" s="81">
        <f>Supuestos!G33-Supuestos!F33</f>
        <v>-45.198430684931736</v>
      </c>
      <c r="H28" s="81">
        <f>Supuestos!H33-Supuestos!G33</f>
        <v>-18.962021164383259</v>
      </c>
      <c r="I28" s="81">
        <f>Supuestos!I33-Supuestos!H33</f>
        <v>1.2600107568432577</v>
      </c>
      <c r="J28" s="81">
        <f>Supuestos!J33-Supuestos!I33</f>
        <v>-5.3263897299275413</v>
      </c>
      <c r="K28" s="81">
        <f>Supuestos!K33-Supuestos!J33</f>
        <v>63.948644752983455</v>
      </c>
    </row>
    <row r="29" spans="1:11">
      <c r="A29" s="50"/>
      <c r="B29" s="24" t="s">
        <v>135</v>
      </c>
      <c r="C29" s="50"/>
      <c r="D29" s="84"/>
      <c r="E29" s="84"/>
      <c r="F29" s="121">
        <v>-1158</v>
      </c>
      <c r="G29" s="121">
        <v>0</v>
      </c>
      <c r="H29" s="121">
        <v>0</v>
      </c>
      <c r="I29" s="121">
        <v>0</v>
      </c>
      <c r="J29" s="121">
        <v>0</v>
      </c>
      <c r="K29" s="121">
        <v>0</v>
      </c>
    </row>
    <row r="30" spans="1:11">
      <c r="A30" s="50"/>
      <c r="B30" s="28" t="s">
        <v>98</v>
      </c>
      <c r="C30" s="50"/>
      <c r="D30" s="85"/>
      <c r="E30" s="85"/>
      <c r="F30" s="86">
        <f t="shared" ref="F30:K30" si="8">SUM(F22:F29)</f>
        <v>4000</v>
      </c>
      <c r="G30" s="86">
        <f t="shared" si="8"/>
        <v>3507.4758850630128</v>
      </c>
      <c r="H30" s="86">
        <f t="shared" si="8"/>
        <v>3629.5992936727675</v>
      </c>
      <c r="I30" s="86">
        <f t="shared" si="8"/>
        <v>3740.8097083146758</v>
      </c>
      <c r="J30" s="86">
        <f t="shared" si="8"/>
        <v>3902.745473210211</v>
      </c>
      <c r="K30" s="86">
        <f t="shared" si="8"/>
        <v>4061.9604770527167</v>
      </c>
    </row>
    <row r="31" spans="1:1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</row>
    <row r="32" spans="1:11">
      <c r="A32" s="50"/>
      <c r="B32" s="27" t="s">
        <v>99</v>
      </c>
      <c r="C32" s="50"/>
      <c r="D32" s="50"/>
      <c r="E32" s="50"/>
      <c r="F32" s="50"/>
      <c r="G32" s="50"/>
      <c r="H32" s="50"/>
      <c r="I32" s="50"/>
      <c r="J32" s="50"/>
      <c r="K32" s="50"/>
    </row>
    <row r="33" spans="1:11">
      <c r="A33" s="50"/>
      <c r="B33" s="24" t="s">
        <v>100</v>
      </c>
      <c r="C33" s="50"/>
      <c r="D33" s="81">
        <f>-Supuestos!D41</f>
        <v>-916</v>
      </c>
      <c r="E33" s="81">
        <f>-Supuestos!E41</f>
        <v>-1013</v>
      </c>
      <c r="F33" s="81">
        <f>-Supuestos!F41</f>
        <v>-1024</v>
      </c>
      <c r="G33" s="81">
        <f>-Supuestos!G41</f>
        <v>-1030.7583999999999</v>
      </c>
      <c r="H33" s="81">
        <f>-Supuestos!H41</f>
        <v>-1040.7615799999999</v>
      </c>
      <c r="I33" s="81">
        <f>-Supuestos!I41</f>
        <v>-1056.1597495799997</v>
      </c>
      <c r="J33" s="81">
        <f>-Supuestos!J41</f>
        <v>-1071.8825317649998</v>
      </c>
      <c r="K33" s="81">
        <f>-Supuestos!K41</f>
        <v>-1091.9064457801348</v>
      </c>
    </row>
    <row r="34" spans="1:11">
      <c r="A34" s="50"/>
      <c r="B34" s="28" t="s">
        <v>101</v>
      </c>
      <c r="C34" s="50"/>
      <c r="D34" s="86">
        <f>D33</f>
        <v>-916</v>
      </c>
      <c r="E34" s="86">
        <f>E33</f>
        <v>-1013</v>
      </c>
      <c r="F34" s="86">
        <f>SUM(F33:F33)</f>
        <v>-1024</v>
      </c>
      <c r="G34" s="86">
        <f>SUM(G33:G33)</f>
        <v>-1030.7583999999999</v>
      </c>
      <c r="H34" s="86">
        <f t="shared" ref="H34:K34" si="9">SUM(H33:H33)</f>
        <v>-1040.7615799999999</v>
      </c>
      <c r="I34" s="86">
        <f t="shared" si="9"/>
        <v>-1056.1597495799997</v>
      </c>
      <c r="J34" s="86">
        <f t="shared" si="9"/>
        <v>-1071.8825317649998</v>
      </c>
      <c r="K34" s="86">
        <f t="shared" si="9"/>
        <v>-1091.9064457801348</v>
      </c>
    </row>
    <row r="35" spans="1:1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</row>
    <row r="36" spans="1:11">
      <c r="A36" s="50"/>
      <c r="B36" s="27" t="s">
        <v>102</v>
      </c>
      <c r="C36" s="50"/>
      <c r="D36" s="50"/>
      <c r="E36" s="50"/>
      <c r="F36" s="50"/>
      <c r="G36" s="50"/>
      <c r="H36" s="50"/>
      <c r="I36" s="50"/>
      <c r="J36" s="50"/>
      <c r="K36" s="50"/>
    </row>
    <row r="37" spans="1:11">
      <c r="A37" s="50"/>
      <c r="B37" s="24" t="s">
        <v>103</v>
      </c>
      <c r="C37" s="50"/>
      <c r="D37" s="84"/>
      <c r="E37" s="84"/>
      <c r="F37" s="81">
        <f>Supuestos!F59-Supuestos!E59</f>
        <v>-179</v>
      </c>
      <c r="G37" s="81">
        <f>(Supuestos!G59+Supuestos!G48)-(Supuestos!F59+Supuestos!F48)</f>
        <v>-219</v>
      </c>
      <c r="H37" s="81">
        <f>(Supuestos!H59+Supuestos!H48)-(Supuestos!G59+Supuestos!G48)</f>
        <v>-200</v>
      </c>
      <c r="I37" s="81">
        <f>(Supuestos!I59+Supuestos!I48)-(Supuestos!H59+Supuestos!H48)</f>
        <v>-200</v>
      </c>
      <c r="J37" s="81">
        <f>(Supuestos!J59+Supuestos!J48)-(Supuestos!I59+Supuestos!I48)</f>
        <v>-200</v>
      </c>
      <c r="K37" s="81">
        <f>(Supuestos!K59+Supuestos!K48)-(Supuestos!J59+Supuestos!J48)</f>
        <v>-200</v>
      </c>
    </row>
    <row r="38" spans="1:11">
      <c r="A38" s="50"/>
      <c r="B38" s="24" t="s">
        <v>104</v>
      </c>
      <c r="C38" s="50"/>
      <c r="D38" s="81">
        <f>-Supuestos!D62</f>
        <v>-1960</v>
      </c>
      <c r="E38" s="81">
        <f>-Supuestos!E62</f>
        <v>-1965</v>
      </c>
      <c r="F38" s="81">
        <f>-Supuestos!F62</f>
        <v>-1931</v>
      </c>
      <c r="G38" s="81">
        <f>-Supuestos!G62</f>
        <v>-1940</v>
      </c>
      <c r="H38" s="81">
        <f>-Supuestos!H62</f>
        <v>-1950</v>
      </c>
      <c r="I38" s="81">
        <f>-Supuestos!I62</f>
        <v>-1960</v>
      </c>
      <c r="J38" s="81">
        <f>-Supuestos!J62</f>
        <v>-1970</v>
      </c>
      <c r="K38" s="81">
        <f>-Supuestos!K62</f>
        <v>-1980</v>
      </c>
    </row>
    <row r="39" spans="1:11">
      <c r="A39" s="50"/>
      <c r="B39" s="24" t="s">
        <v>169</v>
      </c>
      <c r="C39" s="50"/>
      <c r="D39" s="87"/>
      <c r="E39" s="87"/>
      <c r="F39" s="121">
        <v>-932</v>
      </c>
      <c r="G39" s="121">
        <v>0</v>
      </c>
      <c r="H39" s="121">
        <v>0</v>
      </c>
      <c r="I39" s="121">
        <v>0</v>
      </c>
      <c r="J39" s="121">
        <v>0</v>
      </c>
      <c r="K39" s="121">
        <v>0</v>
      </c>
    </row>
    <row r="40" spans="1:11">
      <c r="A40" s="50"/>
      <c r="B40" s="28" t="s">
        <v>105</v>
      </c>
      <c r="C40" s="50"/>
      <c r="D40" s="85"/>
      <c r="E40" s="85"/>
      <c r="F40" s="86">
        <f t="shared" ref="F40:K40" si="10">SUM(F37:F39)</f>
        <v>-3042</v>
      </c>
      <c r="G40" s="86">
        <f t="shared" si="10"/>
        <v>-2159</v>
      </c>
      <c r="H40" s="86">
        <f t="shared" si="10"/>
        <v>-2150</v>
      </c>
      <c r="I40" s="86">
        <f t="shared" si="10"/>
        <v>-2160</v>
      </c>
      <c r="J40" s="86">
        <f t="shared" si="10"/>
        <v>-2170</v>
      </c>
      <c r="K40" s="86">
        <f t="shared" si="10"/>
        <v>-2180</v>
      </c>
    </row>
    <row r="41" spans="1:1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</row>
    <row r="42" spans="1:11">
      <c r="A42" s="50"/>
      <c r="B42" s="26" t="s">
        <v>106</v>
      </c>
      <c r="C42" s="50"/>
      <c r="D42" s="88"/>
      <c r="E42" s="88"/>
      <c r="F42" s="89">
        <f>F30+F34+F40</f>
        <v>-66</v>
      </c>
      <c r="G42" s="89">
        <f>G30+G34+G40</f>
        <v>317.71748506301265</v>
      </c>
      <c r="H42" s="89">
        <f t="shared" ref="H42:K42" si="11">H30+H34+H40</f>
        <v>438.83771367276768</v>
      </c>
      <c r="I42" s="89">
        <f t="shared" si="11"/>
        <v>524.64995873467615</v>
      </c>
      <c r="J42" s="89">
        <f t="shared" si="11"/>
        <v>660.86294144521116</v>
      </c>
      <c r="K42" s="89">
        <f t="shared" si="11"/>
        <v>790.0540312725816</v>
      </c>
    </row>
    <row r="43" spans="1:11">
      <c r="A43" s="50"/>
      <c r="B43" s="24" t="s">
        <v>107</v>
      </c>
      <c r="C43" s="50"/>
      <c r="D43" s="84"/>
      <c r="E43" s="84"/>
      <c r="F43" s="82">
        <f>E44</f>
        <v>1400</v>
      </c>
      <c r="G43" s="81">
        <f>Supuestos!F45</f>
        <v>1334</v>
      </c>
      <c r="H43" s="82">
        <f>G44</f>
        <v>1651.7174850630126</v>
      </c>
      <c r="I43" s="82">
        <f>H44</f>
        <v>2090.5551987357803</v>
      </c>
      <c r="J43" s="82">
        <f>I44</f>
        <v>2615.2051574704565</v>
      </c>
      <c r="K43" s="82">
        <f>J44</f>
        <v>3276.0680989156676</v>
      </c>
    </row>
    <row r="44" spans="1:11">
      <c r="A44" s="50"/>
      <c r="B44" s="29" t="s">
        <v>108</v>
      </c>
      <c r="C44" s="50"/>
      <c r="D44" s="90"/>
      <c r="E44" s="122">
        <v>1400</v>
      </c>
      <c r="F44" s="123">
        <v>1334</v>
      </c>
      <c r="G44" s="91">
        <f>G42+G43</f>
        <v>1651.7174850630126</v>
      </c>
      <c r="H44" s="91">
        <f>H42+H43</f>
        <v>2090.5551987357803</v>
      </c>
      <c r="I44" s="91">
        <f>I42+I43</f>
        <v>2615.2051574704565</v>
      </c>
      <c r="J44" s="91">
        <f>J42+J43</f>
        <v>3276.0680989156676</v>
      </c>
      <c r="K44" s="91">
        <f>K42+K43</f>
        <v>4066.1221301882492</v>
      </c>
    </row>
    <row r="45" spans="1:1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</row>
    <row r="46" spans="1:1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</row>
    <row r="47" spans="1:11">
      <c r="A47" s="50"/>
      <c r="B47" s="19" t="s">
        <v>109</v>
      </c>
      <c r="C47" s="20" t="s">
        <v>29</v>
      </c>
      <c r="D47" s="68"/>
      <c r="E47" s="68"/>
      <c r="F47" s="68"/>
      <c r="G47" s="68"/>
      <c r="H47" s="68"/>
      <c r="I47" s="68"/>
      <c r="J47" s="68"/>
      <c r="K47" s="68"/>
    </row>
    <row r="48" spans="1:1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</row>
    <row r="49" spans="1:11">
      <c r="A49" s="50"/>
      <c r="B49" s="27" t="s">
        <v>110</v>
      </c>
      <c r="C49" s="50"/>
      <c r="D49" s="50"/>
      <c r="E49" s="50"/>
      <c r="F49" s="50"/>
      <c r="G49" s="50"/>
      <c r="H49" s="50"/>
      <c r="I49" s="50"/>
      <c r="J49" s="50"/>
      <c r="K49" s="50"/>
    </row>
    <row r="50" spans="1:11">
      <c r="A50" s="50"/>
      <c r="B50" s="73" t="s">
        <v>111</v>
      </c>
      <c r="C50" s="50"/>
      <c r="D50" s="50"/>
      <c r="E50" s="50"/>
      <c r="F50" s="50"/>
      <c r="G50" s="50"/>
      <c r="H50" s="50"/>
      <c r="I50" s="50"/>
      <c r="J50" s="50"/>
      <c r="K50" s="50"/>
    </row>
    <row r="51" spans="1:11">
      <c r="A51" s="50"/>
      <c r="B51" s="21" t="s">
        <v>74</v>
      </c>
      <c r="C51" s="50"/>
      <c r="D51" s="92"/>
      <c r="E51" s="81">
        <f>Supuestos!E45</f>
        <v>1400</v>
      </c>
      <c r="F51" s="81">
        <f>Supuestos!F45</f>
        <v>1334</v>
      </c>
      <c r="G51" s="82">
        <f t="shared" ref="G51:K51" si="12">G44</f>
        <v>1651.7174850630126</v>
      </c>
      <c r="H51" s="82">
        <f t="shared" si="12"/>
        <v>2090.5551987357803</v>
      </c>
      <c r="I51" s="82">
        <f t="shared" si="12"/>
        <v>2615.2051574704565</v>
      </c>
      <c r="J51" s="82">
        <f t="shared" si="12"/>
        <v>3276.0680989156676</v>
      </c>
      <c r="K51" s="82">
        <f t="shared" si="12"/>
        <v>4066.1221301882492</v>
      </c>
    </row>
    <row r="52" spans="1:11">
      <c r="A52" s="50"/>
      <c r="B52" s="21" t="s">
        <v>50</v>
      </c>
      <c r="C52" s="50"/>
      <c r="D52" s="92"/>
      <c r="E52" s="81">
        <f>Supuestos!E31</f>
        <v>2112</v>
      </c>
      <c r="F52" s="81">
        <f>Supuestos!F31</f>
        <v>2147</v>
      </c>
      <c r="G52" s="81">
        <f>Supuestos!G31</f>
        <v>2139.1766794520549</v>
      </c>
      <c r="H52" s="81">
        <f>Supuestos!H31</f>
        <v>2138.5511917808217</v>
      </c>
      <c r="I52" s="81">
        <f>Supuestos!I31</f>
        <v>2170.1912662602736</v>
      </c>
      <c r="J52" s="81">
        <f>Supuestos!J31</f>
        <v>2202.4983529417805</v>
      </c>
      <c r="K52" s="81">
        <f>Supuestos!K31</f>
        <v>2243.643381740003</v>
      </c>
    </row>
    <row r="53" spans="1:11">
      <c r="A53" s="50"/>
      <c r="B53" s="21" t="s">
        <v>51</v>
      </c>
      <c r="C53" s="50"/>
      <c r="D53" s="92"/>
      <c r="E53" s="81">
        <f>Supuestos!E32</f>
        <v>3614</v>
      </c>
      <c r="F53" s="81">
        <f>Supuestos!F32</f>
        <v>3376</v>
      </c>
      <c r="G53" s="81">
        <f>Supuestos!G32</f>
        <v>3360.2723839999999</v>
      </c>
      <c r="H53" s="81">
        <f>Supuestos!H32</f>
        <v>3336.1398591780821</v>
      </c>
      <c r="I53" s="81">
        <f>Supuestos!I32</f>
        <v>3328.2053259367553</v>
      </c>
      <c r="J53" s="81">
        <f>Supuestos!J32</f>
        <v>3314.7600211773797</v>
      </c>
      <c r="K53" s="81">
        <f>Supuestos!K32</f>
        <v>3366.2129537372512</v>
      </c>
    </row>
    <row r="54" spans="1:11">
      <c r="A54" s="50"/>
      <c r="B54" s="21" t="s">
        <v>131</v>
      </c>
      <c r="C54" s="50"/>
      <c r="D54" s="92"/>
      <c r="E54" s="121">
        <v>803</v>
      </c>
      <c r="F54" s="121">
        <v>1956</v>
      </c>
      <c r="G54" s="82">
        <f>F54</f>
        <v>1956</v>
      </c>
      <c r="H54" s="82">
        <f>G54</f>
        <v>1956</v>
      </c>
      <c r="I54" s="82">
        <f>H54</f>
        <v>1956</v>
      </c>
      <c r="J54" s="82">
        <f>I54</f>
        <v>1956</v>
      </c>
      <c r="K54" s="82">
        <f>J54</f>
        <v>1956</v>
      </c>
    </row>
    <row r="55" spans="1:11">
      <c r="A55" s="50"/>
      <c r="B55" s="74" t="s">
        <v>112</v>
      </c>
      <c r="C55" s="50"/>
      <c r="D55" s="92"/>
      <c r="E55" s="89">
        <f t="shared" ref="E55:K55" si="13">SUM(E51:E54)</f>
        <v>7929</v>
      </c>
      <c r="F55" s="89">
        <f t="shared" si="13"/>
        <v>8813</v>
      </c>
      <c r="G55" s="89">
        <f t="shared" si="13"/>
        <v>9107.1665485150679</v>
      </c>
      <c r="H55" s="89">
        <f t="shared" si="13"/>
        <v>9521.2462496946846</v>
      </c>
      <c r="I55" s="89">
        <f t="shared" si="13"/>
        <v>10069.601749667485</v>
      </c>
      <c r="J55" s="89">
        <f t="shared" si="13"/>
        <v>10749.326473034827</v>
      </c>
      <c r="K55" s="89">
        <f t="shared" si="13"/>
        <v>11631.978465665503</v>
      </c>
    </row>
    <row r="56" spans="1:11">
      <c r="A56" s="50"/>
      <c r="B56" s="50"/>
      <c r="C56" s="50"/>
      <c r="D56" s="92"/>
      <c r="E56" s="92"/>
      <c r="F56" s="92"/>
      <c r="G56" s="92"/>
      <c r="H56" s="92"/>
      <c r="I56" s="92"/>
      <c r="J56" s="92"/>
      <c r="K56" s="92"/>
    </row>
    <row r="57" spans="1:11">
      <c r="A57" s="50"/>
      <c r="B57" s="73" t="s">
        <v>113</v>
      </c>
      <c r="C57" s="50"/>
      <c r="D57" s="92"/>
      <c r="E57" s="92"/>
      <c r="F57" s="92"/>
      <c r="G57" s="92"/>
      <c r="H57" s="92"/>
      <c r="I57" s="92"/>
      <c r="J57" s="92"/>
      <c r="K57" s="92"/>
    </row>
    <row r="58" spans="1:11">
      <c r="A58" s="50"/>
      <c r="B58" s="21" t="s">
        <v>114</v>
      </c>
      <c r="C58" s="50"/>
      <c r="D58" s="81">
        <f>Supuestos!D43</f>
        <v>7110</v>
      </c>
      <c r="E58" s="81">
        <f>Supuestos!E43</f>
        <v>7122</v>
      </c>
      <c r="F58" s="81">
        <f>Supuestos!F43</f>
        <v>7152</v>
      </c>
      <c r="G58" s="81">
        <f>F58+Supuestos!G41-Supuestos!G22</f>
        <v>7231.5423999999994</v>
      </c>
      <c r="H58" s="81">
        <f>G58+Supuestos!H41-Supuestos!H22</f>
        <v>7310.5088407999992</v>
      </c>
      <c r="I58" s="81">
        <f>H58+Supuestos!I41-Supuestos!I22</f>
        <v>7394.3709145535986</v>
      </c>
      <c r="J58" s="81">
        <f>I58+Supuestos!J41-Supuestos!J22</f>
        <v>7482.8021146829697</v>
      </c>
      <c r="K58" s="81">
        <f>J58+Supuestos!K41-Supuestos!K22</f>
        <v>7579.4958792102698</v>
      </c>
    </row>
    <row r="59" spans="1:11">
      <c r="A59" s="50"/>
      <c r="B59" s="21" t="s">
        <v>115</v>
      </c>
      <c r="C59" s="50"/>
      <c r="D59" s="92"/>
      <c r="E59" s="81">
        <f>Supuestos!E44</f>
        <v>72907</v>
      </c>
      <c r="F59" s="81">
        <f>Supuestos!F44</f>
        <v>68772</v>
      </c>
      <c r="G59" s="81">
        <f>Supuestos!G44</f>
        <v>68772</v>
      </c>
      <c r="H59" s="81">
        <f>Supuestos!H44</f>
        <v>68772</v>
      </c>
      <c r="I59" s="81">
        <f>Supuestos!I44</f>
        <v>68772</v>
      </c>
      <c r="J59" s="81">
        <f>Supuestos!J44</f>
        <v>68772</v>
      </c>
      <c r="K59" s="81">
        <f>Supuestos!K44</f>
        <v>68772</v>
      </c>
    </row>
    <row r="60" spans="1:11">
      <c r="A60" s="50"/>
      <c r="B60" s="21" t="s">
        <v>75</v>
      </c>
      <c r="C60" s="50"/>
      <c r="D60" s="92"/>
      <c r="E60" s="81">
        <f>Supuestos!E46</f>
        <v>2381</v>
      </c>
      <c r="F60" s="81">
        <f>Supuestos!F46</f>
        <v>4708</v>
      </c>
      <c r="G60" s="81">
        <f>Supuestos!G46</f>
        <v>4708</v>
      </c>
      <c r="H60" s="81">
        <f>Supuestos!H46</f>
        <v>4708</v>
      </c>
      <c r="I60" s="81">
        <f>Supuestos!I46</f>
        <v>4708</v>
      </c>
      <c r="J60" s="81">
        <f>Supuestos!J46</f>
        <v>4708</v>
      </c>
      <c r="K60" s="81">
        <f>Supuestos!K46</f>
        <v>4708</v>
      </c>
    </row>
    <row r="61" spans="1:11">
      <c r="A61" s="50"/>
      <c r="B61" s="74" t="s">
        <v>116</v>
      </c>
      <c r="C61" s="50"/>
      <c r="D61" s="92"/>
      <c r="E61" s="89">
        <f>SUM(E58:E60)</f>
        <v>82410</v>
      </c>
      <c r="F61" s="89">
        <f t="shared" ref="F61:K61" si="14">SUM(F58:F60)</f>
        <v>80632</v>
      </c>
      <c r="G61" s="89">
        <f t="shared" si="14"/>
        <v>80711.542400000006</v>
      </c>
      <c r="H61" s="89">
        <f t="shared" si="14"/>
        <v>80790.508840800001</v>
      </c>
      <c r="I61" s="89">
        <f t="shared" si="14"/>
        <v>80874.370914553598</v>
      </c>
      <c r="J61" s="89">
        <f t="shared" si="14"/>
        <v>80962.802114682971</v>
      </c>
      <c r="K61" s="89">
        <f t="shared" si="14"/>
        <v>81059.49587921027</v>
      </c>
    </row>
    <row r="62" spans="1:11" ht="15" thickBot="1">
      <c r="A62" s="50"/>
      <c r="B62" s="50"/>
      <c r="C62" s="50"/>
      <c r="D62" s="92"/>
      <c r="E62" s="92"/>
      <c r="F62" s="92"/>
      <c r="G62" s="92"/>
      <c r="H62" s="92"/>
      <c r="I62" s="92"/>
      <c r="J62" s="92"/>
      <c r="K62" s="92"/>
    </row>
    <row r="63" spans="1:11">
      <c r="A63" s="50"/>
      <c r="B63" s="75" t="s">
        <v>117</v>
      </c>
      <c r="C63" s="50"/>
      <c r="D63" s="92"/>
      <c r="E63" s="98">
        <f t="shared" ref="E63:K63" si="15">E55+E61</f>
        <v>90339</v>
      </c>
      <c r="F63" s="98">
        <f t="shared" si="15"/>
        <v>89445</v>
      </c>
      <c r="G63" s="98">
        <f t="shared" si="15"/>
        <v>89818.708948515079</v>
      </c>
      <c r="H63" s="98">
        <f>H55+H61</f>
        <v>90311.755090494684</v>
      </c>
      <c r="I63" s="98">
        <f t="shared" si="15"/>
        <v>90943.972664221088</v>
      </c>
      <c r="J63" s="98">
        <f t="shared" si="15"/>
        <v>91712.128587717802</v>
      </c>
      <c r="K63" s="98">
        <f t="shared" si="15"/>
        <v>92691.47434487578</v>
      </c>
    </row>
    <row r="64" spans="1:1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</row>
    <row r="65" spans="1:11">
      <c r="A65" s="50"/>
      <c r="B65" s="27" t="s">
        <v>118</v>
      </c>
      <c r="C65" s="50"/>
      <c r="D65" s="50"/>
      <c r="E65" s="50"/>
      <c r="F65" s="50"/>
      <c r="G65" s="50"/>
      <c r="H65" s="50"/>
      <c r="I65" s="50"/>
      <c r="J65" s="50"/>
      <c r="K65" s="50"/>
    </row>
    <row r="66" spans="1:11">
      <c r="A66" s="50"/>
      <c r="B66" s="73" t="s">
        <v>119</v>
      </c>
      <c r="C66" s="50"/>
      <c r="D66" s="50"/>
      <c r="E66" s="50"/>
      <c r="F66" s="50"/>
      <c r="G66" s="50"/>
      <c r="H66" s="50"/>
      <c r="I66" s="50"/>
      <c r="J66" s="50"/>
      <c r="K66" s="50"/>
    </row>
    <row r="67" spans="1:11">
      <c r="A67" s="50"/>
      <c r="B67" s="21" t="s">
        <v>52</v>
      </c>
      <c r="C67" s="50"/>
      <c r="D67" s="92"/>
      <c r="E67" s="81">
        <f>Supuestos!E33</f>
        <v>4627</v>
      </c>
      <c r="F67" s="81">
        <f>Supuestos!F33</f>
        <v>4188</v>
      </c>
      <c r="G67" s="81">
        <f>Supuestos!G33</f>
        <v>4142.8015693150683</v>
      </c>
      <c r="H67" s="81">
        <f>Supuestos!H33</f>
        <v>4123.839548150685</v>
      </c>
      <c r="I67" s="81">
        <f>Supuestos!I33</f>
        <v>4125.0995589075283</v>
      </c>
      <c r="J67" s="81">
        <f>Supuestos!J33</f>
        <v>4119.7731691776007</v>
      </c>
      <c r="K67" s="81">
        <f>Supuestos!K33</f>
        <v>4183.7218139305842</v>
      </c>
    </row>
    <row r="68" spans="1:11">
      <c r="A68" s="50"/>
      <c r="B68" s="21" t="s">
        <v>76</v>
      </c>
      <c r="C68" s="50"/>
      <c r="D68" s="92"/>
      <c r="E68" s="81">
        <f>Supuestos!E48</f>
        <v>638</v>
      </c>
      <c r="F68" s="81">
        <f>Supuestos!F48</f>
        <v>654</v>
      </c>
      <c r="G68" s="81">
        <f>Supuestos!G48</f>
        <v>650</v>
      </c>
      <c r="H68" s="81">
        <f>Supuestos!H48</f>
        <v>650</v>
      </c>
      <c r="I68" s="81">
        <f>Supuestos!I48</f>
        <v>650</v>
      </c>
      <c r="J68" s="81">
        <f>Supuestos!J48</f>
        <v>650</v>
      </c>
      <c r="K68" s="81">
        <f>Supuestos!K48</f>
        <v>650</v>
      </c>
    </row>
    <row r="69" spans="1:11">
      <c r="A69" s="50"/>
      <c r="B69" s="21" t="s">
        <v>132</v>
      </c>
      <c r="C69" s="50"/>
      <c r="D69" s="92"/>
      <c r="E69" s="121">
        <v>3087</v>
      </c>
      <c r="F69" s="121">
        <v>3575</v>
      </c>
      <c r="G69" s="82">
        <f>F69</f>
        <v>3575</v>
      </c>
      <c r="H69" s="82">
        <f>G69</f>
        <v>3575</v>
      </c>
      <c r="I69" s="82">
        <f>H69</f>
        <v>3575</v>
      </c>
      <c r="J69" s="82">
        <f>I69</f>
        <v>3575</v>
      </c>
      <c r="K69" s="82">
        <f>J69</f>
        <v>3575</v>
      </c>
    </row>
    <row r="70" spans="1:11">
      <c r="A70" s="50"/>
      <c r="B70" s="74" t="s">
        <v>120</v>
      </c>
      <c r="C70" s="50"/>
      <c r="D70" s="92"/>
      <c r="E70" s="89">
        <f>SUM(E67:E69)</f>
        <v>8352</v>
      </c>
      <c r="F70" s="89">
        <f>SUM(F67:F69)</f>
        <v>8417</v>
      </c>
      <c r="G70" s="89">
        <f t="shared" ref="G70:K70" si="16">SUM(G67:G69)</f>
        <v>8367.8015693150683</v>
      </c>
      <c r="H70" s="89">
        <f t="shared" si="16"/>
        <v>8348.839548150685</v>
      </c>
      <c r="I70" s="89">
        <f t="shared" si="16"/>
        <v>8350.0995589075283</v>
      </c>
      <c r="J70" s="89">
        <f t="shared" si="16"/>
        <v>8344.7731691776007</v>
      </c>
      <c r="K70" s="89">
        <f t="shared" si="16"/>
        <v>8408.7218139305842</v>
      </c>
    </row>
    <row r="71" spans="1:11">
      <c r="A71" s="50"/>
      <c r="B71" s="50"/>
      <c r="C71" s="50"/>
      <c r="D71" s="92"/>
      <c r="E71" s="92"/>
      <c r="F71" s="92"/>
      <c r="G71" s="92"/>
      <c r="H71" s="92"/>
      <c r="I71" s="92"/>
      <c r="J71" s="92"/>
      <c r="K71" s="92"/>
    </row>
    <row r="72" spans="1:11">
      <c r="A72" s="50"/>
      <c r="B72" s="73" t="s">
        <v>121</v>
      </c>
      <c r="C72" s="50"/>
      <c r="D72" s="92"/>
      <c r="E72" s="92"/>
      <c r="F72" s="92"/>
      <c r="G72" s="92"/>
      <c r="H72" s="92"/>
      <c r="I72" s="92"/>
      <c r="J72" s="92"/>
      <c r="K72" s="92"/>
    </row>
    <row r="73" spans="1:11">
      <c r="A73" s="50"/>
      <c r="B73" s="21" t="s">
        <v>122</v>
      </c>
      <c r="C73" s="50"/>
      <c r="D73" s="92"/>
      <c r="E73" s="81">
        <f>Supuestos!E59</f>
        <v>19394</v>
      </c>
      <c r="F73" s="81">
        <f>Supuestos!F59</f>
        <v>19215</v>
      </c>
      <c r="G73" s="82">
        <f>Supuestos!G59</f>
        <v>19000</v>
      </c>
      <c r="H73" s="82">
        <f>Supuestos!H59</f>
        <v>18800</v>
      </c>
      <c r="I73" s="82">
        <f>Supuestos!I59</f>
        <v>18600</v>
      </c>
      <c r="J73" s="82">
        <f>Supuestos!J59</f>
        <v>18400</v>
      </c>
      <c r="K73" s="82">
        <f>Supuestos!K59</f>
        <v>18200</v>
      </c>
    </row>
    <row r="74" spans="1:11">
      <c r="A74" s="50"/>
      <c r="B74" s="21" t="s">
        <v>77</v>
      </c>
      <c r="C74" s="50"/>
      <c r="D74" s="92"/>
      <c r="E74" s="81">
        <f>Supuestos!E49</f>
        <v>2985</v>
      </c>
      <c r="F74" s="81">
        <f>Supuestos!F49</f>
        <v>2815</v>
      </c>
      <c r="G74" s="81">
        <f>Supuestos!G49</f>
        <v>2815</v>
      </c>
      <c r="H74" s="81">
        <f>Supuestos!H49</f>
        <v>2815</v>
      </c>
      <c r="I74" s="81">
        <f>Supuestos!I49</f>
        <v>2815</v>
      </c>
      <c r="J74" s="81">
        <f>Supuestos!J49</f>
        <v>2815</v>
      </c>
      <c r="K74" s="81">
        <f>Supuestos!K49</f>
        <v>2815</v>
      </c>
    </row>
    <row r="75" spans="1:11">
      <c r="A75" s="50"/>
      <c r="B75" s="21" t="s">
        <v>133</v>
      </c>
      <c r="C75" s="50"/>
      <c r="D75" s="92"/>
      <c r="E75" s="81">
        <f>Supuestos!E60</f>
        <v>10201</v>
      </c>
      <c r="F75" s="81">
        <f>Supuestos!F60</f>
        <v>9679</v>
      </c>
      <c r="G75" s="81">
        <f>Supuestos!G60</f>
        <v>9500</v>
      </c>
      <c r="H75" s="81">
        <f>Supuestos!H60</f>
        <v>9300</v>
      </c>
      <c r="I75" s="81">
        <f>Supuestos!I60</f>
        <v>9100</v>
      </c>
      <c r="J75" s="81">
        <f>Supuestos!J60</f>
        <v>8900</v>
      </c>
      <c r="K75" s="81">
        <f>Supuestos!K60</f>
        <v>8700</v>
      </c>
    </row>
    <row r="76" spans="1:11">
      <c r="A76" s="50"/>
      <c r="B76" s="74" t="s">
        <v>123</v>
      </c>
      <c r="C76" s="50"/>
      <c r="D76" s="92"/>
      <c r="E76" s="89">
        <f t="shared" ref="E76:K76" si="17">SUM(E73:E75)</f>
        <v>32580</v>
      </c>
      <c r="F76" s="89">
        <f t="shared" si="17"/>
        <v>31709</v>
      </c>
      <c r="G76" s="89">
        <f t="shared" si="17"/>
        <v>31315</v>
      </c>
      <c r="H76" s="89">
        <f t="shared" si="17"/>
        <v>30915</v>
      </c>
      <c r="I76" s="89">
        <f t="shared" si="17"/>
        <v>30515</v>
      </c>
      <c r="J76" s="89">
        <f t="shared" si="17"/>
        <v>30115</v>
      </c>
      <c r="K76" s="89">
        <f t="shared" si="17"/>
        <v>29715</v>
      </c>
    </row>
    <row r="77" spans="1:11" ht="15" thickBot="1">
      <c r="A77" s="50"/>
      <c r="B77" s="50"/>
      <c r="C77" s="50"/>
      <c r="D77" s="92"/>
      <c r="E77" s="92"/>
      <c r="F77" s="92"/>
      <c r="G77" s="92"/>
      <c r="H77" s="92"/>
      <c r="I77" s="92"/>
      <c r="J77" s="92"/>
      <c r="K77" s="92"/>
    </row>
    <row r="78" spans="1:11">
      <c r="A78" s="50"/>
      <c r="B78" s="76" t="s">
        <v>124</v>
      </c>
      <c r="C78" s="50"/>
      <c r="D78" s="92"/>
      <c r="E78" s="99">
        <f t="shared" ref="E78:K78" si="18">E70+E76</f>
        <v>40932</v>
      </c>
      <c r="F78" s="99">
        <f t="shared" si="18"/>
        <v>40126</v>
      </c>
      <c r="G78" s="99">
        <f t="shared" si="18"/>
        <v>39682.801569315066</v>
      </c>
      <c r="H78" s="99">
        <f t="shared" si="18"/>
        <v>39263.839548150689</v>
      </c>
      <c r="I78" s="99">
        <f t="shared" si="18"/>
        <v>38865.099558907532</v>
      </c>
      <c r="J78" s="99">
        <f t="shared" si="18"/>
        <v>38459.773169177599</v>
      </c>
      <c r="K78" s="99">
        <f t="shared" si="18"/>
        <v>38123.721813930584</v>
      </c>
    </row>
    <row r="79" spans="1:1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</row>
    <row r="80" spans="1:11">
      <c r="A80" s="50"/>
      <c r="B80" s="73" t="s">
        <v>125</v>
      </c>
      <c r="C80" s="50"/>
      <c r="D80" s="50"/>
      <c r="E80" s="50"/>
      <c r="F80" s="50"/>
      <c r="G80" s="50"/>
      <c r="H80" s="50"/>
      <c r="I80" s="50"/>
      <c r="J80" s="50"/>
      <c r="K80" s="50"/>
    </row>
    <row r="81" spans="1:14">
      <c r="A81" s="50"/>
      <c r="B81" s="21" t="s">
        <v>159</v>
      </c>
      <c r="C81" s="50"/>
      <c r="D81" s="92"/>
      <c r="E81" s="81">
        <f>Supuestos!E52</f>
        <v>52049</v>
      </c>
      <c r="F81" s="81">
        <f>Supuestos!F52</f>
        <v>52147</v>
      </c>
      <c r="G81" s="81">
        <f>Supuestos!G52</f>
        <v>52147</v>
      </c>
      <c r="H81" s="81">
        <f>Supuestos!H52</f>
        <v>52147</v>
      </c>
      <c r="I81" s="81">
        <f>Supuestos!I52</f>
        <v>52147</v>
      </c>
      <c r="J81" s="81">
        <f>Supuestos!J52</f>
        <v>52147</v>
      </c>
      <c r="K81" s="81">
        <f>Supuestos!K52</f>
        <v>52147</v>
      </c>
    </row>
    <row r="82" spans="1:14">
      <c r="A82" s="50"/>
      <c r="B82" s="21" t="s">
        <v>126</v>
      </c>
      <c r="C82" s="50"/>
      <c r="D82" s="92"/>
      <c r="E82" s="81">
        <f>Supuestos!E53</f>
        <v>1367</v>
      </c>
      <c r="F82" s="81">
        <f>Supuestos!F53</f>
        <v>2171</v>
      </c>
      <c r="G82" s="82">
        <f>F82+G17+G38</f>
        <v>2987.9073791999999</v>
      </c>
      <c r="H82" s="82">
        <f>G82+H17+H38</f>
        <v>3899.9155423439997</v>
      </c>
      <c r="I82" s="82">
        <f>H82+I17+I38</f>
        <v>4930.873105313558</v>
      </c>
      <c r="J82" s="82">
        <f>I82+J17+J38</f>
        <v>6104.355418540199</v>
      </c>
      <c r="K82" s="82">
        <f>J82+K17+K38</f>
        <v>7419.7525309451903</v>
      </c>
    </row>
    <row r="83" spans="1:14">
      <c r="A83" s="50"/>
      <c r="B83" s="21" t="s">
        <v>160</v>
      </c>
      <c r="C83" s="50"/>
      <c r="D83" s="92"/>
      <c r="E83" s="81">
        <f>Supuestos!E54</f>
        <v>-1286</v>
      </c>
      <c r="F83" s="81">
        <f>Supuestos!F54</f>
        <v>-2218</v>
      </c>
      <c r="G83" s="81">
        <f>Supuestos!G54</f>
        <v>-2218</v>
      </c>
      <c r="H83" s="81">
        <f>Supuestos!H54</f>
        <v>-2218</v>
      </c>
      <c r="I83" s="81">
        <f>Supuestos!I54</f>
        <v>-2218</v>
      </c>
      <c r="J83" s="81">
        <f>Supuestos!J54</f>
        <v>-2218</v>
      </c>
      <c r="K83" s="81">
        <f>Supuestos!K54</f>
        <v>-2218</v>
      </c>
      <c r="N83" s="30"/>
    </row>
    <row r="84" spans="1:14">
      <c r="A84" s="50"/>
      <c r="B84" s="21" t="s">
        <v>79</v>
      </c>
      <c r="C84" s="50"/>
      <c r="D84" s="92"/>
      <c r="E84" s="81">
        <f>Supuestos!E55</f>
        <v>-2915</v>
      </c>
      <c r="F84" s="81">
        <f>Supuestos!F55</f>
        <v>-2915</v>
      </c>
      <c r="G84" s="81">
        <f>Supuestos!G55</f>
        <v>-2915</v>
      </c>
      <c r="H84" s="81">
        <f>Supuestos!H55</f>
        <v>-2915</v>
      </c>
      <c r="I84" s="81">
        <f>Supuestos!I55</f>
        <v>-2915</v>
      </c>
      <c r="J84" s="81">
        <f>Supuestos!J55</f>
        <v>-2915</v>
      </c>
      <c r="K84" s="81">
        <f>Supuestos!K55</f>
        <v>-2915</v>
      </c>
    </row>
    <row r="85" spans="1:14">
      <c r="A85" s="50"/>
      <c r="B85" s="21" t="s">
        <v>134</v>
      </c>
      <c r="C85" s="50"/>
      <c r="D85" s="92"/>
      <c r="E85" s="121">
        <v>192</v>
      </c>
      <c r="F85" s="121">
        <v>134</v>
      </c>
      <c r="G85" s="82">
        <f>F85</f>
        <v>134</v>
      </c>
      <c r="H85" s="82">
        <f>G85</f>
        <v>134</v>
      </c>
      <c r="I85" s="82">
        <f>H85</f>
        <v>134</v>
      </c>
      <c r="J85" s="82">
        <f>I85</f>
        <v>134</v>
      </c>
      <c r="K85" s="82">
        <f>J85</f>
        <v>134</v>
      </c>
    </row>
    <row r="86" spans="1:14">
      <c r="A86" s="50"/>
      <c r="B86" s="74" t="s">
        <v>127</v>
      </c>
      <c r="C86" s="50"/>
      <c r="D86" s="92"/>
      <c r="E86" s="89">
        <f>SUM(E81:E85)</f>
        <v>49407</v>
      </c>
      <c r="F86" s="89">
        <f t="shared" ref="F86:K86" si="19">SUM(F81:F85)</f>
        <v>49319</v>
      </c>
      <c r="G86" s="89">
        <f t="shared" si="19"/>
        <v>50135.907379199998</v>
      </c>
      <c r="H86" s="89">
        <f t="shared" si="19"/>
        <v>51047.915542344002</v>
      </c>
      <c r="I86" s="89">
        <f t="shared" si="19"/>
        <v>52078.873105313556</v>
      </c>
      <c r="J86" s="89">
        <f t="shared" si="19"/>
        <v>53252.355418540203</v>
      </c>
      <c r="K86" s="89">
        <f t="shared" si="19"/>
        <v>54567.752530945188</v>
      </c>
    </row>
    <row r="87" spans="1:14" ht="15" thickBot="1">
      <c r="A87" s="50"/>
      <c r="B87" s="50"/>
      <c r="C87" s="50"/>
      <c r="D87" s="92"/>
      <c r="E87" s="92"/>
      <c r="F87" s="92"/>
      <c r="G87" s="92"/>
      <c r="H87" s="92"/>
      <c r="I87" s="92"/>
      <c r="J87" s="92"/>
      <c r="K87" s="92"/>
    </row>
    <row r="88" spans="1:14">
      <c r="A88" s="50"/>
      <c r="B88" s="75" t="s">
        <v>128</v>
      </c>
      <c r="C88" s="50"/>
      <c r="D88" s="92"/>
      <c r="E88" s="98">
        <f t="shared" ref="E88:K88" si="20">E78+E86</f>
        <v>90339</v>
      </c>
      <c r="F88" s="98">
        <f t="shared" si="20"/>
        <v>89445</v>
      </c>
      <c r="G88" s="98">
        <f t="shared" si="20"/>
        <v>89818.708948515065</v>
      </c>
      <c r="H88" s="98">
        <f t="shared" si="20"/>
        <v>90311.755090494698</v>
      </c>
      <c r="I88" s="98">
        <f t="shared" si="20"/>
        <v>90943.972664221088</v>
      </c>
      <c r="J88" s="98">
        <f t="shared" si="20"/>
        <v>91712.128587717802</v>
      </c>
      <c r="K88" s="98">
        <f t="shared" si="20"/>
        <v>92691.47434487578</v>
      </c>
    </row>
    <row r="89" spans="1:14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</row>
    <row r="90" spans="1:14">
      <c r="A90" s="50"/>
      <c r="B90" s="77" t="s">
        <v>129</v>
      </c>
      <c r="C90" s="50"/>
      <c r="D90" s="50"/>
      <c r="E90" s="50"/>
      <c r="F90" s="50"/>
      <c r="G90" s="50"/>
      <c r="H90" s="50"/>
      <c r="I90" s="50"/>
      <c r="J90" s="50"/>
      <c r="K90" s="50"/>
    </row>
    <row r="91" spans="1:14">
      <c r="A91" s="50"/>
      <c r="B91" s="22" t="s">
        <v>130</v>
      </c>
      <c r="C91" s="50"/>
      <c r="D91" s="92"/>
      <c r="E91" s="89">
        <f>E63-E88</f>
        <v>0</v>
      </c>
      <c r="F91" s="89">
        <f>F63-F88</f>
        <v>0</v>
      </c>
      <c r="G91" s="89">
        <f t="shared" ref="G91:K91" si="21">G63-G88</f>
        <v>0</v>
      </c>
      <c r="H91" s="89">
        <f t="shared" si="21"/>
        <v>0</v>
      </c>
      <c r="I91" s="89">
        <f t="shared" si="21"/>
        <v>0</v>
      </c>
      <c r="J91" s="89">
        <f t="shared" si="21"/>
        <v>0</v>
      </c>
      <c r="K91" s="89">
        <f t="shared" si="21"/>
        <v>0</v>
      </c>
    </row>
    <row r="92" spans="1:14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</row>
    <row r="93" spans="1:14">
      <c r="A93" s="50"/>
      <c r="B93" s="50"/>
      <c r="C93" s="50"/>
      <c r="D93" s="50"/>
      <c r="E93" s="50"/>
      <c r="F93" s="50"/>
    </row>
  </sheetData>
  <hyperlinks>
    <hyperlink ref="A1" location="'Portada - Indice'!A1" display="← Volver a Portada" xr:uid="{0C2C821E-C462-4FFC-898F-7B7A73F0456D}"/>
  </hyperlink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9D3C-CC7E-46AD-89E5-31EEE77CF387}">
  <sheetPr>
    <tabColor rgb="FF2E75B6"/>
  </sheetPr>
  <dimension ref="A1:M34"/>
  <sheetViews>
    <sheetView showGridLines="0" tabSelected="1" zoomScale="47" zoomScaleNormal="47" workbookViewId="0">
      <pane ySplit="3" topLeftCell="A4" activePane="bottomLeft" state="frozen"/>
      <selection pane="bottomLeft" activeCell="B40" sqref="B40"/>
    </sheetView>
  </sheetViews>
  <sheetFormatPr baseColWidth="10" defaultRowHeight="14.5"/>
  <cols>
    <col min="1" max="1" width="14" customWidth="1"/>
    <col min="2" max="2" width="50.81640625" customWidth="1"/>
    <col min="4" max="11" width="15.453125" customWidth="1"/>
  </cols>
  <sheetData>
    <row r="1" spans="1:13" ht="25.5" customHeight="1">
      <c r="A1" s="52" t="str">
        <f>HYPERLINK("#'Portada - Indice'!A1","← Volver a Portada")</f>
        <v>← Volver a Portada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3" ht="38.25" customHeight="1">
      <c r="A2" s="52"/>
      <c r="B2" s="139" t="s">
        <v>139</v>
      </c>
      <c r="C2" s="139"/>
      <c r="D2" s="139"/>
      <c r="E2" s="139"/>
      <c r="F2" s="139"/>
      <c r="G2" s="139"/>
      <c r="H2" s="139"/>
      <c r="I2" s="139"/>
      <c r="J2" s="139"/>
      <c r="K2" s="139"/>
    </row>
    <row r="3" spans="1:13" ht="22.5" customHeight="1">
      <c r="A3" s="52"/>
      <c r="B3" s="52" t="s">
        <v>140</v>
      </c>
      <c r="C3" s="52" t="s">
        <v>136</v>
      </c>
      <c r="D3" s="120">
        <f>Modelo!D2</f>
        <v>2022</v>
      </c>
      <c r="E3" s="120">
        <f>Modelo!E2</f>
        <v>2023</v>
      </c>
      <c r="F3" s="120">
        <f>Modelo!F2</f>
        <v>2024</v>
      </c>
      <c r="G3" s="52" t="str">
        <f>Modelo!G2</f>
        <v>2025E</v>
      </c>
      <c r="H3" s="52" t="str">
        <f>Modelo!H2</f>
        <v>2026E</v>
      </c>
      <c r="I3" s="52" t="str">
        <f>Modelo!I2</f>
        <v>2027E</v>
      </c>
      <c r="J3" s="52" t="str">
        <f>Modelo!J2</f>
        <v>2028E</v>
      </c>
      <c r="K3" s="52" t="str">
        <f>Modelo!K2</f>
        <v>2029E</v>
      </c>
    </row>
    <row r="4" spans="1:13">
      <c r="B4" s="50"/>
      <c r="C4" s="50"/>
      <c r="D4" s="50"/>
      <c r="E4" s="50"/>
      <c r="F4" s="50"/>
      <c r="G4" s="50"/>
      <c r="H4" s="50"/>
      <c r="I4" s="50"/>
      <c r="J4" s="50"/>
      <c r="K4" s="50"/>
    </row>
    <row r="5" spans="1:13">
      <c r="B5" s="78" t="s">
        <v>141</v>
      </c>
      <c r="C5" s="79"/>
      <c r="D5" s="79"/>
      <c r="E5" s="79"/>
      <c r="F5" s="79"/>
      <c r="G5" s="79"/>
      <c r="H5" s="79"/>
      <c r="I5" s="79"/>
      <c r="J5" s="79"/>
      <c r="K5" s="79"/>
    </row>
    <row r="6" spans="1:13">
      <c r="B6" s="134"/>
      <c r="C6" s="50"/>
      <c r="D6" s="50"/>
      <c r="E6" s="50"/>
      <c r="F6" s="50"/>
      <c r="G6" s="50"/>
      <c r="H6" s="50"/>
      <c r="I6" s="50"/>
      <c r="J6" s="50"/>
      <c r="K6" s="50"/>
    </row>
    <row r="7" spans="1:13">
      <c r="B7" s="50" t="s">
        <v>137</v>
      </c>
      <c r="C7" s="80" t="s">
        <v>30</v>
      </c>
      <c r="D7" s="124">
        <f>Modelo!D6</f>
        <v>26485</v>
      </c>
      <c r="E7" s="124">
        <f>Modelo!E6</f>
        <v>26640</v>
      </c>
      <c r="F7" s="124">
        <f>Modelo!F6</f>
        <v>25846</v>
      </c>
      <c r="G7" s="124">
        <f>Modelo!G6</f>
        <v>25768.959999999999</v>
      </c>
      <c r="H7" s="124">
        <f>Modelo!H6</f>
        <v>26019.039499999999</v>
      </c>
      <c r="I7" s="124">
        <f>Modelo!I6</f>
        <v>26403.993739499994</v>
      </c>
      <c r="J7" s="124">
        <f>Modelo!J6</f>
        <v>26797.063294124997</v>
      </c>
      <c r="K7" s="124">
        <f>Modelo!K6</f>
        <v>27297.66114450337</v>
      </c>
    </row>
    <row r="8" spans="1:13">
      <c r="B8" s="50" t="s">
        <v>142</v>
      </c>
      <c r="C8" s="80" t="s">
        <v>34</v>
      </c>
      <c r="D8" s="125" t="str">
        <f>IFERROR(Modelo!D6/Modelo!C6-1,"")</f>
        <v/>
      </c>
      <c r="E8" s="125">
        <f>IFERROR(Modelo!E6/Modelo!D6-1,"")</f>
        <v>5.8523692656220483E-3</v>
      </c>
      <c r="F8" s="125">
        <f>IFERROR(Modelo!F6/Modelo!E6-1,"")</f>
        <v>-2.9804804804804852E-2</v>
      </c>
      <c r="G8" s="125">
        <f>IFERROR(Modelo!G6/Modelo!F6-1,"")</f>
        <v>-2.9807320281668437E-3</v>
      </c>
      <c r="H8" s="125">
        <f>IFERROR(Modelo!H6/Modelo!G6-1,"")</f>
        <v>9.7046795834989652E-3</v>
      </c>
      <c r="I8" s="125">
        <f>IFERROR(Modelo!I6/Modelo!H6-1,"")</f>
        <v>1.4795098008902219E-2</v>
      </c>
      <c r="J8" s="125">
        <f>IFERROR(Modelo!J6/Modelo!I6-1,"")</f>
        <v>1.4886746243882643E-2</v>
      </c>
      <c r="K8" s="125">
        <f>IFERROR(Modelo!K6/Modelo!J6-1,"")</f>
        <v>1.8681071313068953E-2</v>
      </c>
    </row>
    <row r="9" spans="1:13">
      <c r="B9" s="50" t="s">
        <v>138</v>
      </c>
      <c r="C9" s="80" t="s">
        <v>30</v>
      </c>
      <c r="D9" s="124">
        <f>Modelo!D12-Modelo!D10</f>
        <v>3634</v>
      </c>
      <c r="E9" s="124">
        <f>Modelo!E12-Modelo!E10</f>
        <v>4572</v>
      </c>
      <c r="F9" s="124">
        <f>Modelo!F12-Modelo!F10</f>
        <v>1683</v>
      </c>
      <c r="G9" s="124">
        <f>Modelo!G12-Modelo!G10</f>
        <v>5385.7126399999997</v>
      </c>
      <c r="H9" s="124">
        <f>Modelo!H12-Modelo!H10</f>
        <v>5516.0363739999993</v>
      </c>
      <c r="I9" s="124">
        <f>Modelo!I12-Modelo!I10</f>
        <v>5676.8586539925</v>
      </c>
      <c r="J9" s="124">
        <f>Modelo!J12-Modelo!J10</f>
        <v>5868.5568614133736</v>
      </c>
      <c r="K9" s="124">
        <f>Modelo!K12-Modelo!K10</f>
        <v>6060.0807740797472</v>
      </c>
    </row>
    <row r="10" spans="1:13">
      <c r="B10" s="50" t="s">
        <v>143</v>
      </c>
      <c r="C10" s="80" t="s">
        <v>34</v>
      </c>
      <c r="D10" s="125">
        <f>IFERROR((Modelo!D12-Modelo!D10)/Modelo!D6,"")</f>
        <v>0.13720974136303568</v>
      </c>
      <c r="E10" s="125">
        <f>IFERROR((Modelo!E12-Modelo!E10)/Modelo!E6,"")</f>
        <v>0.17162162162162162</v>
      </c>
      <c r="F10" s="125">
        <f>IFERROR((Modelo!F12-Modelo!F10)/Modelo!F6,"")</f>
        <v>6.5116459026541826E-2</v>
      </c>
      <c r="G10" s="125">
        <f>IFERROR((Modelo!G12-Modelo!G10)/Modelo!G6,"")</f>
        <v>0.20899999999999999</v>
      </c>
      <c r="H10" s="125">
        <f>IFERROR((Modelo!H12-Modelo!H10)/Modelo!H6,"")</f>
        <v>0.21199999999999999</v>
      </c>
      <c r="I10" s="125">
        <f>IFERROR((Modelo!I12-Modelo!I10)/Modelo!I6,"")</f>
        <v>0.21500000000000005</v>
      </c>
      <c r="J10" s="125">
        <f>IFERROR((Modelo!J12-Modelo!J10)/Modelo!J6,"")</f>
        <v>0.21899999999999997</v>
      </c>
      <c r="K10" s="125">
        <f>IFERROR((Modelo!K12-Modelo!K10)/Modelo!K6,"")</f>
        <v>0.22199999999999998</v>
      </c>
    </row>
    <row r="11" spans="1:13">
      <c r="B11" s="50" t="s">
        <v>89</v>
      </c>
      <c r="C11" s="80" t="s">
        <v>30</v>
      </c>
      <c r="D11" s="124">
        <f>Modelo!D17</f>
        <v>1219.1287929871883</v>
      </c>
      <c r="E11" s="124">
        <f>Modelo!E17</f>
        <v>2135.4792182769061</v>
      </c>
      <c r="F11" s="124">
        <f>Modelo!F17</f>
        <v>1299</v>
      </c>
      <c r="G11" s="124">
        <f>Modelo!G17</f>
        <v>2756.9073791999995</v>
      </c>
      <c r="H11" s="124">
        <f>Modelo!H17</f>
        <v>2862.0081631439998</v>
      </c>
      <c r="I11" s="124">
        <f>Modelo!I17</f>
        <v>2990.9575629695578</v>
      </c>
      <c r="J11" s="124">
        <f>Modelo!J17</f>
        <v>3143.4823132266411</v>
      </c>
      <c r="K11" s="124">
        <f>Modelo!K17</f>
        <v>3295.3971124049917</v>
      </c>
    </row>
    <row r="12" spans="1:13">
      <c r="B12" s="50" t="s">
        <v>144</v>
      </c>
      <c r="C12" s="80" t="s">
        <v>34</v>
      </c>
      <c r="D12" s="125">
        <f>IFERROR(Modelo!D17/Modelo!D6,"")</f>
        <v>4.6030915347826627E-2</v>
      </c>
      <c r="E12" s="125">
        <f>IFERROR(Modelo!E17/Modelo!E6,"")</f>
        <v>8.0160631316700676E-2</v>
      </c>
      <c r="F12" s="125">
        <f>IFERROR(Modelo!F17/Modelo!F6,"")</f>
        <v>5.0259227733498411E-2</v>
      </c>
      <c r="G12" s="125">
        <f>IFERROR(Modelo!G17/Modelo!G6,"")</f>
        <v>0.10698558960858333</v>
      </c>
      <c r="H12" s="125">
        <f>IFERROR(Modelo!H17/Modelo!H6,"")</f>
        <v>0.10999668773876145</v>
      </c>
      <c r="I12" s="125">
        <f>IFERROR(Modelo!I17/Modelo!I6,"")</f>
        <v>0.11327671080663561</v>
      </c>
      <c r="J12" s="125">
        <f>IFERROR(Modelo!J17/Modelo!J6,"")</f>
        <v>0.11730697049612224</v>
      </c>
      <c r="K12" s="125">
        <f>IFERROR(Modelo!K17/Modelo!K6,"")</f>
        <v>0.12072085937913951</v>
      </c>
      <c r="M12" s="137"/>
    </row>
    <row r="13" spans="1:13">
      <c r="B13" s="50"/>
      <c r="C13" s="50"/>
      <c r="D13" s="93"/>
      <c r="E13" s="93"/>
      <c r="F13" s="93"/>
      <c r="G13" s="93"/>
      <c r="H13" s="93"/>
      <c r="I13" s="93"/>
      <c r="J13" s="93"/>
      <c r="K13" s="93"/>
    </row>
    <row r="14" spans="1:13">
      <c r="B14" s="78" t="s">
        <v>145</v>
      </c>
      <c r="C14" s="79"/>
      <c r="D14" s="94"/>
      <c r="E14" s="94"/>
      <c r="F14" s="94"/>
      <c r="G14" s="94"/>
      <c r="H14" s="94"/>
      <c r="I14" s="94"/>
      <c r="J14" s="94"/>
      <c r="K14" s="94"/>
    </row>
    <row r="15" spans="1:13">
      <c r="B15" s="134"/>
      <c r="C15" s="50"/>
      <c r="D15" s="93"/>
      <c r="E15" s="93"/>
      <c r="F15" s="93"/>
      <c r="G15" s="93"/>
      <c r="H15" s="93"/>
      <c r="I15" s="93"/>
      <c r="J15" s="93"/>
      <c r="K15" s="93"/>
    </row>
    <row r="16" spans="1:13">
      <c r="B16" s="50" t="s">
        <v>146</v>
      </c>
      <c r="C16" s="80" t="s">
        <v>30</v>
      </c>
      <c r="D16" s="95">
        <f>IFERROR(Modelo!D30+Modelo!D33,"")</f>
        <v>-916</v>
      </c>
      <c r="E16" s="95">
        <f>IFERROR(Modelo!E30+Modelo!E33,"")</f>
        <v>-1013</v>
      </c>
      <c r="F16" s="95">
        <f>IFERROR(Modelo!F30+Modelo!F33,"")</f>
        <v>2976</v>
      </c>
      <c r="G16" s="95">
        <f>IFERROR(Modelo!G30+Modelo!G33,"")</f>
        <v>2476.7174850630126</v>
      </c>
      <c r="H16" s="95">
        <f>IFERROR(Modelo!H30+Modelo!H33,"")</f>
        <v>2588.8377136727677</v>
      </c>
      <c r="I16" s="95">
        <f>IFERROR(Modelo!I30+Modelo!I33,"")</f>
        <v>2684.6499587346761</v>
      </c>
      <c r="J16" s="95">
        <f>IFERROR(Modelo!J30+Modelo!J33,"")</f>
        <v>2830.8629414452112</v>
      </c>
      <c r="K16" s="95">
        <f>IFERROR(Modelo!K30+Modelo!K33,"")</f>
        <v>2970.0540312725816</v>
      </c>
    </row>
    <row r="17" spans="2:11">
      <c r="B17" s="50" t="s">
        <v>147</v>
      </c>
      <c r="C17" s="80" t="s">
        <v>34</v>
      </c>
      <c r="D17" s="96">
        <f>IFERROR((Modelo!D30+Modelo!D33)/(Modelo!D12-Modelo!D10),"")</f>
        <v>-0.25206384149697303</v>
      </c>
      <c r="E17" s="96">
        <f>IFERROR((Modelo!E30+Modelo!E33)/(Modelo!E12-Modelo!E10),"")</f>
        <v>-0.2215660542432196</v>
      </c>
      <c r="F17" s="96">
        <f>IFERROR((Modelo!F30+Modelo!F33)/(Modelo!F12-Modelo!F10),"")</f>
        <v>1.768270944741533</v>
      </c>
      <c r="G17" s="96">
        <f>IFERROR((Modelo!G30+Modelo!G33)/(Modelo!G12-Modelo!G10),"")</f>
        <v>0.45986810857086735</v>
      </c>
      <c r="H17" s="96">
        <f>IFERROR((Modelo!H30+Modelo!H33)/(Modelo!H12-Modelo!H10),"")</f>
        <v>0.46932934051619579</v>
      </c>
      <c r="I17" s="96">
        <f>IFERROR((Modelo!I30+Modelo!I33)/(Modelo!I12-Modelo!I10),"")</f>
        <v>0.47291118598603443</v>
      </c>
      <c r="J17" s="96">
        <f>IFERROR((Modelo!J30+Modelo!J33)/(Modelo!J12-Modelo!J10),"")</f>
        <v>0.48237803744538155</v>
      </c>
      <c r="K17" s="96">
        <f>IFERROR((Modelo!K30+Modelo!K33)/(Modelo!K12-Modelo!K10),"")</f>
        <v>0.49010139336362207</v>
      </c>
    </row>
    <row r="18" spans="2:11">
      <c r="B18" s="50"/>
      <c r="C18" s="50"/>
      <c r="D18" s="93"/>
      <c r="E18" s="93"/>
      <c r="F18" s="93"/>
      <c r="G18" s="93"/>
      <c r="H18" s="93"/>
      <c r="I18" s="93"/>
      <c r="J18" s="93"/>
      <c r="K18" s="93"/>
    </row>
    <row r="19" spans="2:11">
      <c r="B19" s="78" t="s">
        <v>148</v>
      </c>
      <c r="C19" s="79"/>
      <c r="D19" s="94"/>
      <c r="E19" s="94"/>
      <c r="F19" s="94"/>
      <c r="G19" s="94"/>
      <c r="H19" s="94"/>
      <c r="I19" s="94"/>
      <c r="J19" s="94"/>
      <c r="K19" s="94"/>
    </row>
    <row r="20" spans="2:11">
      <c r="B20" s="134"/>
      <c r="C20" s="50"/>
      <c r="D20" s="93"/>
      <c r="E20" s="93"/>
      <c r="F20" s="93"/>
      <c r="G20" s="93"/>
      <c r="H20" s="93"/>
      <c r="I20" s="93"/>
      <c r="J20" s="93"/>
      <c r="K20" s="93"/>
    </row>
    <row r="21" spans="2:11">
      <c r="B21" s="50" t="s">
        <v>149</v>
      </c>
      <c r="C21" s="80" t="s">
        <v>34</v>
      </c>
      <c r="D21" s="96" t="str">
        <f>IFERROR((Modelo!D12*(1-Supuestos!D26))/(Modelo!D73+Modelo!D68+Modelo!D86),"")</f>
        <v/>
      </c>
      <c r="E21" s="96">
        <f>IFERROR((Modelo!E12*(1-Supuestos!E26))/(Modelo!E73+Modelo!E68+Modelo!E86),"")</f>
        <v>4.0737420733686434E-2</v>
      </c>
      <c r="F21" s="96" t="str">
        <f>IFERROR((Modelo!F12*(1-Supuestos!F26))/(Modelo!F73+Modelo!F68+Modelo!F86),"")</f>
        <v/>
      </c>
      <c r="G21" s="96">
        <f>IFERROR((Modelo!G12*(1-Supuestos!G26))/(Modelo!G73+Modelo!G68+Modelo!G86),"")</f>
        <v>4.9564554063976279E-2</v>
      </c>
      <c r="H21" s="96">
        <f>IFERROR((Modelo!H12*(1-Supuestos!H26))/(Modelo!H73+Modelo!H68+Modelo!H86),"")</f>
        <v>5.0388839667327955E-2</v>
      </c>
      <c r="I21" s="96">
        <f>IFERROR((Modelo!I12*(1-Supuestos!I26))/(Modelo!I73+Modelo!I68+Modelo!I86),"")</f>
        <v>5.1445612459790825E-2</v>
      </c>
      <c r="J21" s="96">
        <f>IFERROR((Modelo!J12*(1-Supuestos!J26))/(Modelo!J73+Modelo!J68+Modelo!J86),"")</f>
        <v>5.2700666405254622E-2</v>
      </c>
      <c r="K21" s="96">
        <f>IFERROR((Modelo!K12*(1-Supuestos!K26))/(Modelo!K73+Modelo!K68+Modelo!K86),"")</f>
        <v>5.3809834491185711E-2</v>
      </c>
    </row>
    <row r="22" spans="2:11">
      <c r="B22" s="50" t="s">
        <v>150</v>
      </c>
      <c r="C22" s="80" t="s">
        <v>73</v>
      </c>
      <c r="D22" s="126">
        <f>IFERROR((Modelo!D73+Modelo!D68-Modelo!D51)/(Modelo!D12-Modelo!D10),"")</f>
        <v>0</v>
      </c>
      <c r="E22" s="126">
        <f>IFERROR((Modelo!E73+Modelo!E68-Modelo!E51)/(Modelo!E12-Modelo!E10),"")</f>
        <v>4.0752405949256341</v>
      </c>
      <c r="F22" s="126">
        <f>IFERROR((Modelo!F73+Modelo!F68-Modelo!F51)/(Modelo!F12-Modelo!F10),"")</f>
        <v>11.013071895424837</v>
      </c>
      <c r="G22" s="126">
        <f>IFERROR((Modelo!G73+Modelo!G68-Modelo!G51)/(Modelo!G12-Modelo!G10),"")</f>
        <v>3.3418571910544768</v>
      </c>
      <c r="H22" s="126">
        <f>IFERROR((Modelo!H73+Modelo!H68-Modelo!H51)/(Modelo!H12-Modelo!H10),"")</f>
        <v>3.1470867166664234</v>
      </c>
      <c r="I22" s="126">
        <f>IFERROR((Modelo!I73+Modelo!I68-Modelo!I51)/(Modelo!I12-Modelo!I10),"")</f>
        <v>2.930281667455362</v>
      </c>
      <c r="J22" s="126">
        <f>IFERROR((Modelo!J73+Modelo!J68-Modelo!J51)/(Modelo!J12-Modelo!J10),"")</f>
        <v>2.6878723804825442</v>
      </c>
      <c r="K22" s="126">
        <f>IFERROR((Modelo!K73+Modelo!K68-Modelo!K51)/(Modelo!K12-Modelo!K10),"")</f>
        <v>2.4395512899837142</v>
      </c>
    </row>
    <row r="23" spans="2:11">
      <c r="B23" s="50"/>
      <c r="C23" s="50"/>
      <c r="D23" s="93"/>
      <c r="E23" s="93"/>
      <c r="F23" s="93"/>
      <c r="G23" s="93"/>
      <c r="H23" s="93"/>
      <c r="I23" s="93"/>
      <c r="J23" s="93"/>
      <c r="K23" s="93"/>
    </row>
    <row r="24" spans="2:11">
      <c r="B24" s="78" t="s">
        <v>151</v>
      </c>
      <c r="C24" s="79"/>
      <c r="D24" s="94"/>
      <c r="E24" s="94"/>
      <c r="F24" s="94"/>
      <c r="G24" s="94"/>
      <c r="H24" s="94"/>
      <c r="I24" s="94"/>
      <c r="J24" s="94"/>
      <c r="K24" s="94"/>
    </row>
    <row r="25" spans="2:11">
      <c r="B25" s="134"/>
      <c r="C25" s="50"/>
      <c r="D25" s="93"/>
      <c r="E25" s="93"/>
      <c r="F25" s="93"/>
      <c r="G25" s="93"/>
      <c r="H25" s="93"/>
      <c r="I25" s="93"/>
      <c r="J25" s="93"/>
      <c r="K25" s="93"/>
    </row>
    <row r="26" spans="2:11">
      <c r="B26" s="50" t="s">
        <v>161</v>
      </c>
      <c r="C26" s="80" t="s">
        <v>152</v>
      </c>
      <c r="D26" s="127">
        <f>IFERROR(Modelo!D17/Supuestos!D63,"")</f>
        <v>0.99602025570848718</v>
      </c>
      <c r="E26" s="127">
        <f>IFERROR(Modelo!E17/Supuestos!E63,"")</f>
        <v>1.7532670100795615</v>
      </c>
      <c r="F26" s="127">
        <f>IFERROR(Modelo!F17/Supuestos!F63,"")</f>
        <v>1.0870292887029289</v>
      </c>
      <c r="G26" s="127">
        <f>IFERROR(Modelo!G17/Supuestos!G63,"")</f>
        <v>2.3363621857627113</v>
      </c>
      <c r="H26" s="127">
        <f>IFERROR(Modelo!H17/Supuestos!H63,"")</f>
        <v>2.4461608232000001</v>
      </c>
      <c r="I26" s="127">
        <f>IFERROR(Modelo!I17/Supuestos!I63,"")</f>
        <v>2.5784116922151359</v>
      </c>
      <c r="J26" s="127">
        <f>IFERROR(Modelo!J17/Supuestos!J63,"")</f>
        <v>2.7334628810666444</v>
      </c>
      <c r="K26" s="127">
        <f>IFERROR(Modelo!K17/Supuestos!K63,"")</f>
        <v>2.8906992214078873</v>
      </c>
    </row>
    <row r="27" spans="2:11">
      <c r="B27" s="50" t="s">
        <v>153</v>
      </c>
      <c r="C27" s="80" t="s">
        <v>30</v>
      </c>
      <c r="D27" s="95">
        <f>IFERROR(-Modelo!D38,"")</f>
        <v>1960</v>
      </c>
      <c r="E27" s="95">
        <f>IFERROR(-Modelo!E38,"")</f>
        <v>1965</v>
      </c>
      <c r="F27" s="95">
        <f>IFERROR(-Modelo!F38,"")</f>
        <v>1931</v>
      </c>
      <c r="G27" s="95">
        <f>IFERROR(-Modelo!G38,"")</f>
        <v>1940</v>
      </c>
      <c r="H27" s="95">
        <f>IFERROR(-Modelo!H38,"")</f>
        <v>1950</v>
      </c>
      <c r="I27" s="95">
        <f>IFERROR(-Modelo!I38,"")</f>
        <v>1960</v>
      </c>
      <c r="J27" s="95">
        <f>IFERROR(-Modelo!J38,"")</f>
        <v>1970</v>
      </c>
      <c r="K27" s="95">
        <f>IFERROR(-Modelo!K38,"")</f>
        <v>1980</v>
      </c>
    </row>
    <row r="29" spans="2:11">
      <c r="B29" s="78" t="s">
        <v>162</v>
      </c>
      <c r="C29" s="78"/>
      <c r="D29" s="78"/>
      <c r="E29" s="78"/>
      <c r="F29" s="78"/>
      <c r="G29" s="78"/>
      <c r="H29" s="78"/>
      <c r="I29" s="78"/>
      <c r="J29" s="78"/>
      <c r="K29" s="78"/>
    </row>
    <row r="30" spans="2:11">
      <c r="B30" s="134"/>
      <c r="C30" s="134"/>
      <c r="D30" s="134"/>
      <c r="E30" s="134"/>
      <c r="F30" s="134"/>
      <c r="G30" s="134"/>
      <c r="H30" s="134"/>
      <c r="I30" s="134"/>
      <c r="J30" s="134"/>
      <c r="K30" s="134"/>
    </row>
    <row r="31" spans="2:11">
      <c r="B31" t="s">
        <v>163</v>
      </c>
      <c r="C31" t="s">
        <v>73</v>
      </c>
      <c r="D31" s="135">
        <f>IFERROR(Modelo!D12/ABS(Modelo!D13),"")</f>
        <v>2.9326818675352877</v>
      </c>
      <c r="E31" s="135">
        <f>IFERROR(Modelo!E12/ABS(Modelo!E13),"")</f>
        <v>3.9594298245614037</v>
      </c>
      <c r="F31" s="135">
        <f>IFERROR(Modelo!F12/ABS(Modelo!F13),"")</f>
        <v>0.80592105263157898</v>
      </c>
      <c r="G31" s="135">
        <f>IFERROR(Modelo!G12/ABS(Modelo!G13),"")</f>
        <v>4.9272184888888884</v>
      </c>
      <c r="H31" s="135">
        <f>IFERROR(Modelo!H12/ABS(Modelo!H13),"")</f>
        <v>5.1460352935593221</v>
      </c>
      <c r="I31" s="135">
        <f>IFERROR(Modelo!I12/ABS(Modelo!I13),"")</f>
        <v>5.4075413542139072</v>
      </c>
      <c r="J31" s="135">
        <f>IFERROR(Modelo!J12/ABS(Modelo!J13),"")</f>
        <v>5.7135737190382976</v>
      </c>
      <c r="K31" s="135">
        <f>IFERROR(Modelo!K12/ABS(Modelo!K13),"")</f>
        <v>6.0296048724129907</v>
      </c>
    </row>
    <row r="32" spans="2:11">
      <c r="B32" t="s">
        <v>164</v>
      </c>
      <c r="C32" t="s">
        <v>73</v>
      </c>
      <c r="D32" s="135">
        <f>IFERROR((Modelo!D30+Modelo!D33)/(-Modelo!D38),"")</f>
        <v>-0.4673469387755102</v>
      </c>
      <c r="E32" s="135">
        <f>IFERROR((Modelo!E30+Modelo!E33)/(-Modelo!E38),"")</f>
        <v>-0.51552162849872774</v>
      </c>
      <c r="F32" s="135">
        <f>IFERROR((Modelo!F30+Modelo!F33)/(-Modelo!F38),"")</f>
        <v>1.541170378042465</v>
      </c>
      <c r="G32" s="135">
        <f>IFERROR((Modelo!G30+Modelo!G33)/(-Modelo!G38),"")</f>
        <v>1.2766584974551611</v>
      </c>
      <c r="H32" s="135">
        <f>IFERROR((Modelo!H30+Modelo!H33)/(-Modelo!H38),"")</f>
        <v>1.3276090839347527</v>
      </c>
      <c r="I32" s="135">
        <f>IFERROR((Modelo!I30+Modelo!I33)/(-Modelo!I38),"")</f>
        <v>1.3697193667013654</v>
      </c>
      <c r="J32" s="135">
        <f>IFERROR((Modelo!J30+Modelo!J33)/(-Modelo!J38),"")</f>
        <v>1.4369862646930005</v>
      </c>
      <c r="K32" s="135">
        <f>IFERROR((Modelo!K30+Modelo!K33)/(-Modelo!K38),"")</f>
        <v>1.5000272885215058</v>
      </c>
    </row>
    <row r="33" spans="2:11">
      <c r="B33" t="s">
        <v>165</v>
      </c>
      <c r="C33" t="s">
        <v>34</v>
      </c>
      <c r="D33" s="136">
        <f>IFERROR(-Modelo!D38/Modelo!D17,"")</f>
        <v>1.6077054461140903</v>
      </c>
      <c r="E33" s="136">
        <f>IFERROR(-Modelo!E38/Modelo!E17,"")</f>
        <v>0.920168167960696</v>
      </c>
      <c r="F33" s="136">
        <f>IFERROR(-Modelo!F38/Modelo!F17,"")</f>
        <v>1.4865280985373364</v>
      </c>
      <c r="G33" s="136">
        <f>IFERROR(-Modelo!G38/Modelo!G17,"")</f>
        <v>0.70368704245804226</v>
      </c>
      <c r="H33" s="136">
        <f>IFERROR(-Modelo!H38/Modelo!H17,"")</f>
        <v>0.68133977572512161</v>
      </c>
      <c r="I33" s="136">
        <f>IFERROR(-Modelo!I38/Modelo!I17,"")</f>
        <v>0.65530852870210021</v>
      </c>
      <c r="J33" s="136">
        <f>IFERROR(-Modelo!J38/Modelo!J17,"")</f>
        <v>0.62669352129355071</v>
      </c>
      <c r="K33" s="136">
        <f>IFERROR(-Modelo!K38/Modelo!K17,"")</f>
        <v>0.60083805758844933</v>
      </c>
    </row>
    <row r="34" spans="2:11">
      <c r="B34" t="s">
        <v>166</v>
      </c>
      <c r="C34" t="s">
        <v>34</v>
      </c>
      <c r="D34" s="136" t="str">
        <f>IFERROR((Modelo!D73+Modelo!D68)/(Modelo!D73+Modelo!D68+Modelo!D86),"")</f>
        <v/>
      </c>
      <c r="E34" s="136">
        <f>IFERROR((Modelo!E73+Modelo!E68)/(Modelo!E73+Modelo!E68+Modelo!E86),"")</f>
        <v>0.28848341709990061</v>
      </c>
      <c r="F34" s="136">
        <f>IFERROR((Modelo!F73+Modelo!F68)/(Modelo!F73+Modelo!F68+Modelo!F86),"")</f>
        <v>0.28717407642943865</v>
      </c>
      <c r="G34" s="136">
        <f>IFERROR((Modelo!G73+Modelo!G68)/(Modelo!G73+Modelo!G68+Modelo!G86),"")</f>
        <v>0.28157547473340971</v>
      </c>
      <c r="H34" s="136">
        <f>IFERROR((Modelo!H73+Modelo!H68)/(Modelo!H73+Modelo!H68+Modelo!H86),"")</f>
        <v>0.2758946821387579</v>
      </c>
      <c r="I34" s="136">
        <f>IFERROR((Modelo!I73+Modelo!I68)/(Modelo!I73+Modelo!I68+Modelo!I86),"")</f>
        <v>0.26987668754528515</v>
      </c>
      <c r="J34" s="136">
        <f>IFERROR((Modelo!J73+Modelo!J68)/(Modelo!J73+Modelo!J68+Modelo!J86),"")</f>
        <v>0.26347689352199283</v>
      </c>
      <c r="K34" s="136">
        <f>IFERROR((Modelo!K73+Modelo!K68)/(Modelo!K73+Modelo!K68+Modelo!K86),"")</f>
        <v>0.25674989154775374</v>
      </c>
    </row>
  </sheetData>
  <mergeCells count="1">
    <mergeCell ref="B2:K2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70508-b3d0-4c2a-9e98-1feb4791598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D06EE708E5C6D44AD046CF4DB1A661D" ma:contentTypeVersion="8" ma:contentTypeDescription="Crear nuevo documento." ma:contentTypeScope="" ma:versionID="eb1ed6a5a6b3d789d7ea0f603eef67be">
  <xsd:schema xmlns:xsd="http://www.w3.org/2001/XMLSchema" xmlns:xs="http://www.w3.org/2001/XMLSchema" xmlns:p="http://schemas.microsoft.com/office/2006/metadata/properties" xmlns:ns3="61d70508-b3d0-4c2a-9e98-1feb4791598d" xmlns:ns4="a7ea2e85-fd9c-4de8-8e93-75a3bfd51cb2" targetNamespace="http://schemas.microsoft.com/office/2006/metadata/properties" ma:root="true" ma:fieldsID="3d9e676a89b65d6b3f37c7bc9937b9a2" ns3:_="" ns4:_="">
    <xsd:import namespace="61d70508-b3d0-4c2a-9e98-1feb4791598d"/>
    <xsd:import namespace="a7ea2e85-fd9c-4de8-8e93-75a3bfd51cb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70508-b3d0-4c2a-9e98-1feb479159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a2e85-fd9c-4de8-8e93-75a3bfd51cb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8DE6A0-7886-433A-AF13-2B4D55E75A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4841E6-D3F3-4884-8001-F15AB7087830}">
  <ds:schemaRefs>
    <ds:schemaRef ds:uri="61d70508-b3d0-4c2a-9e98-1feb4791598d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a7ea2e85-fd9c-4de8-8e93-75a3bfd51cb2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C8E4563-3204-4091-B82E-C4CC96CC4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70508-b3d0-4c2a-9e98-1feb4791598d"/>
    <ds:schemaRef ds:uri="a7ea2e85-fd9c-4de8-8e93-75a3bfd51c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 - Indice</vt:lpstr>
      <vt:lpstr>Supuestos</vt:lpstr>
      <vt:lpstr>Modelo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Santucci, Andreas</dc:creator>
  <cp:lastModifiedBy>ANDREAS SANTUCCI</cp:lastModifiedBy>
  <dcterms:created xsi:type="dcterms:W3CDTF">2026-05-15T13:29:36Z</dcterms:created>
  <dcterms:modified xsi:type="dcterms:W3CDTF">2026-06-23T17:03:26Z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0x010100AD06EE708E5C6D44AD046CF4DB1A661D</vt:lpwstr>
  </property>
</Properties>
</file>